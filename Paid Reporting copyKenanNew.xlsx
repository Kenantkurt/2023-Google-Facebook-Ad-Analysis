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 Ads Data" sheetId="1" r:id="rId4"/>
    <sheet state="visible" name="PIVOT TABLE GOOGLE" sheetId="2" r:id="rId5"/>
    <sheet state="visible" name="Paid Reporting" sheetId="3" r:id="rId6"/>
    <sheet state="visible" name="Summary" sheetId="4" r:id="rId7"/>
    <sheet state="visible" name="Additional Questions " sheetId="5" r:id="rId8"/>
    <sheet state="visible" name="Graphs Google" sheetId="6" r:id="rId9"/>
    <sheet state="visible" name="Facebook Ads Data" sheetId="7" r:id="rId10"/>
    <sheet state="visible" name="Pivot Table Facebook" sheetId="8" r:id="rId11"/>
    <sheet state="visible" name="Facebook Summary" sheetId="9" r:id="rId12"/>
    <sheet state="visible" name="Additional Questions" sheetId="10" r:id="rId13"/>
  </sheets>
  <definedNames/>
  <calcPr/>
  <pivotCaches>
    <pivotCache cacheId="0" r:id="rId14"/>
    <pivotCache cacheId="1" r:id="rId15"/>
  </pivotCaches>
  <extLst>
    <ext uri="GoogleSheetsCustomDataVersion2">
      <go:sheetsCustomData xmlns:go="http://customooxmlschemas.google.com/" r:id="rId16" roundtripDataChecksum="WRuPQroTFC9TMjT7UeYMbtQ+45PD5mAsaybFt1iTHKc="/>
    </ext>
  </extLst>
</workbook>
</file>

<file path=xl/sharedStrings.xml><?xml version="1.0" encoding="utf-8"?>
<sst xmlns="http://schemas.openxmlformats.org/spreadsheetml/2006/main" count="204" uniqueCount="110">
  <si>
    <t>date</t>
  </si>
  <si>
    <t>impressions</t>
  </si>
  <si>
    <t>clicks</t>
  </si>
  <si>
    <t>spend</t>
  </si>
  <si>
    <t>conversions</t>
  </si>
  <si>
    <t>revenue</t>
  </si>
  <si>
    <t>date - Month</t>
  </si>
  <si>
    <t>date - Day-Month</t>
  </si>
  <si>
    <t>Sum of conversions</t>
  </si>
  <si>
    <t>Sum of revenue</t>
  </si>
  <si>
    <t>Sum of spend</t>
  </si>
  <si>
    <t>Sum of clicks</t>
  </si>
  <si>
    <t>Sum of impressions</t>
  </si>
  <si>
    <t>CTR</t>
  </si>
  <si>
    <t>CPM</t>
  </si>
  <si>
    <t>CPC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</si>
  <si>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</si>
  <si>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</si>
  <si>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</si>
  <si>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</si>
  <si>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</si>
  <si>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</si>
  <si>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</si>
  <si>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</si>
  <si>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</si>
  <si>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</si>
  <si>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</si>
  <si>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</si>
  <si>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Grand Total</t>
  </si>
  <si>
    <t>Dates</t>
  </si>
  <si>
    <t>Click True Rate</t>
  </si>
  <si>
    <t>Conversion Rate</t>
  </si>
  <si>
    <t>Cost Per Click</t>
  </si>
  <si>
    <t>Average Conversation Value</t>
  </si>
  <si>
    <t>ROAS</t>
  </si>
  <si>
    <t>Cost Per Conversion</t>
  </si>
  <si>
    <t>Total Amount Spend</t>
  </si>
  <si>
    <t>Total Clicks</t>
  </si>
  <si>
    <t>Avg Cost Per Click</t>
  </si>
  <si>
    <t>Cost Per 1000 Imperessions</t>
  </si>
  <si>
    <t>Total Conversions</t>
  </si>
  <si>
    <t>Total Revenue</t>
  </si>
  <si>
    <t>Avg  Conversion</t>
  </si>
  <si>
    <t xml:space="preserve">Spend Money Each Month </t>
  </si>
  <si>
    <t>Conversions Each Month</t>
  </si>
  <si>
    <t>Revenue Each Month</t>
  </si>
  <si>
    <t>CPM for December</t>
  </si>
  <si>
    <t>CPC For December</t>
  </si>
  <si>
    <t>Jan</t>
  </si>
  <si>
    <t xml:space="preserve">jan </t>
  </si>
  <si>
    <t>Feb</t>
  </si>
  <si>
    <t>feb</t>
  </si>
  <si>
    <t>Mar</t>
  </si>
  <si>
    <t>mar</t>
  </si>
  <si>
    <t>Apr</t>
  </si>
  <si>
    <t>apr</t>
  </si>
  <si>
    <t>May</t>
  </si>
  <si>
    <t>may</t>
  </si>
  <si>
    <t>Jun</t>
  </si>
  <si>
    <t>jun</t>
  </si>
  <si>
    <t>Jul</t>
  </si>
  <si>
    <t>jul</t>
  </si>
  <si>
    <t>Aug</t>
  </si>
  <si>
    <t>aug</t>
  </si>
  <si>
    <t>Sep</t>
  </si>
  <si>
    <t>sep</t>
  </si>
  <si>
    <t>Oct</t>
  </si>
  <si>
    <t>oct</t>
  </si>
  <si>
    <t>Nov</t>
  </si>
  <si>
    <t>nov</t>
  </si>
  <si>
    <t>Dec</t>
  </si>
  <si>
    <t>dec</t>
  </si>
  <si>
    <t>Maximum Spend</t>
  </si>
  <si>
    <t>Maximum Conversion</t>
  </si>
  <si>
    <t>Maximum Revenue</t>
  </si>
  <si>
    <t>AVG Conversion Amount For December</t>
  </si>
  <si>
    <t>AVG Cpm For December</t>
  </si>
  <si>
    <t>AVG Cpc For December</t>
  </si>
  <si>
    <t>Months</t>
  </si>
  <si>
    <t>Clicks</t>
  </si>
  <si>
    <t>Spend</t>
  </si>
  <si>
    <t>Google Ad Spend</t>
  </si>
  <si>
    <t>Facebook Ad Spend</t>
  </si>
  <si>
    <t>Annual Spend</t>
  </si>
  <si>
    <t>Date</t>
  </si>
  <si>
    <t>Impressions</t>
  </si>
  <si>
    <t>Conversions</t>
  </si>
  <si>
    <t>Revenue</t>
  </si>
  <si>
    <t>SUM of Impressions</t>
  </si>
  <si>
    <t>SUM of Clicks</t>
  </si>
  <si>
    <t>SUM of Spend</t>
  </si>
  <si>
    <t>SUM of Conversions</t>
  </si>
  <si>
    <t>SUM of Revenue</t>
  </si>
  <si>
    <t>Total Spent</t>
  </si>
  <si>
    <t xml:space="preserve">Total Clicks Amount </t>
  </si>
  <si>
    <t>Total Impressions</t>
  </si>
  <si>
    <t>Average Cost Per Click</t>
  </si>
  <si>
    <t>Average CPM</t>
  </si>
  <si>
    <t>Total Conversation</t>
  </si>
  <si>
    <t>Average Cost Per Conversation</t>
  </si>
  <si>
    <t>Return On Ad Spend (ROAS)</t>
  </si>
  <si>
    <t>Spend For Each Month</t>
  </si>
  <si>
    <t>Conversions For Each Month</t>
  </si>
  <si>
    <t>Revenue For Each Month</t>
  </si>
  <si>
    <t>CPC FOR JULY</t>
  </si>
  <si>
    <t>CPM FOR JULY</t>
  </si>
  <si>
    <t>Conversion Amount For July</t>
  </si>
  <si>
    <t>Total CPC For July</t>
  </si>
  <si>
    <t>Total CPM For July</t>
  </si>
  <si>
    <t>Total Conversion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</si>
</sst>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&quot;$&quot;#,##0.00_);[Red]\(&quot;$&quot;#,##0.00\)"/>
    <numFmt numFmtId="166" formatCode="&quot;$&quot;#,##0.00"/>
    <numFmt numFmtId="167" formatCode="&quot;$&quot;#,##0"/>
  </numFmts>
  <fonts count="8">
    <font>
      <sz val="12.0"/>
      <color theme="1"/>
      <name val="Aptos Narrow"/>
      <scheme val="minor"/>
    </font>
    <font>
      <b/>
      <sz val="13.0"/>
      <color rgb="FF0E284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b/>
      <sz val="12.0"/>
      <color theme="1"/>
      <name val="Aptos Narrow"/>
    </font>
    <font>
      <b/>
      <color theme="1"/>
      <name val="Aptos Narrow"/>
      <scheme val="minor"/>
    </font>
    <font/>
    <font>
      <b/>
      <sz val="11.0"/>
      <color rgb="FF0E284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84E291"/>
        <bgColor rgb="FF84E291"/>
      </patternFill>
    </fill>
    <fill>
      <patternFill patternType="solid">
        <fgColor theme="0"/>
        <bgColor theme="0"/>
      </patternFill>
    </fill>
    <fill>
      <patternFill patternType="solid">
        <fgColor rgb="FFE49EDD"/>
        <bgColor rgb="FFE49EDD"/>
      </patternFill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D9F2D0"/>
        <bgColor rgb="FFD9F2D0"/>
      </patternFill>
    </fill>
    <fill>
      <patternFill patternType="solid">
        <fgColor rgb="FF95DCF7"/>
        <bgColor rgb="FF95DCF7"/>
      </patternFill>
    </fill>
    <fill>
      <patternFill patternType="solid">
        <fgColor rgb="FFFF9051"/>
        <bgColor rgb="FFFF9051"/>
      </patternFill>
    </fill>
    <fill>
      <patternFill patternType="solid">
        <fgColor rgb="FF92D050"/>
        <bgColor rgb="FF92D050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 style="thick">
        <color rgb="FF64BDE6"/>
      </bottom>
    </border>
    <border>
      <left/>
      <right/>
      <top/>
      <bottom style="thin">
        <color rgb="FF45B0E1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  <bottom style="medium">
        <color rgb="FF45B0E1"/>
      </bottom>
    </border>
    <border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3" fontId="1" numFmtId="10" xfId="0" applyBorder="1" applyFill="1" applyFont="1" applyNumberFormat="1"/>
    <xf borderId="0" fillId="0" fontId="2" numFmtId="164" xfId="0" applyFont="1" applyNumberFormat="1"/>
    <xf borderId="0" fillId="0" fontId="3" numFmtId="0" xfId="0" applyFont="1"/>
    <xf borderId="0" fillId="0" fontId="2" numFmtId="165" xfId="0" applyFont="1" applyNumberFormat="1"/>
    <xf borderId="0" fillId="0" fontId="2" numFmtId="10" xfId="0" applyFont="1" applyNumberFormat="1"/>
    <xf borderId="0" fillId="0" fontId="2" numFmtId="166" xfId="0" applyFont="1" applyNumberFormat="1"/>
    <xf borderId="0" fillId="0" fontId="2" numFmtId="3" xfId="0" applyFont="1" applyNumberFormat="1"/>
    <xf borderId="0" fillId="0" fontId="2" numFmtId="0" xfId="0" applyFont="1"/>
    <xf borderId="0" fillId="0" fontId="3" numFmtId="164" xfId="0" applyFont="1" applyNumberFormat="1"/>
    <xf borderId="2" fillId="4" fontId="4" numFmtId="0" xfId="0" applyBorder="1" applyFill="1" applyFont="1"/>
    <xf borderId="0" fillId="0" fontId="2" numFmtId="0" xfId="0" applyAlignment="1" applyFont="1">
      <alignment horizontal="left"/>
    </xf>
    <xf borderId="0" fillId="0" fontId="3" numFmtId="165" xfId="0" applyFont="1" applyNumberFormat="1"/>
    <xf borderId="0" fillId="0" fontId="4" numFmtId="10" xfId="0" applyFont="1" applyNumberFormat="1"/>
    <xf borderId="0" fillId="0" fontId="5" numFmtId="166" xfId="0" applyFont="1" applyNumberFormat="1"/>
    <xf borderId="0" fillId="0" fontId="3" numFmtId="3" xfId="0" applyFont="1" applyNumberFormat="1"/>
    <xf borderId="3" fillId="5" fontId="4" numFmtId="10" xfId="0" applyBorder="1" applyFill="1" applyFont="1" applyNumberFormat="1"/>
    <xf borderId="3" fillId="5" fontId="4" numFmtId="166" xfId="0" applyBorder="1" applyFont="1" applyNumberFormat="1"/>
    <xf borderId="3" fillId="6" fontId="4" numFmtId="0" xfId="0" applyBorder="1" applyFill="1" applyFont="1"/>
    <xf borderId="0" fillId="0" fontId="2" numFmtId="167" xfId="0" applyFont="1" applyNumberFormat="1"/>
    <xf borderId="4" fillId="7" fontId="4" numFmtId="0" xfId="0" applyAlignment="1" applyBorder="1" applyFill="1" applyFont="1">
      <alignment horizontal="center"/>
    </xf>
    <xf borderId="5" fillId="0" fontId="6" numFmtId="0" xfId="0" applyBorder="1" applyFont="1"/>
    <xf borderId="1" fillId="8" fontId="1" numFmtId="164" xfId="0" applyBorder="1" applyFill="1" applyFont="1" applyNumberFormat="1"/>
    <xf borderId="1" fillId="8" fontId="1" numFmtId="0" xfId="0" applyBorder="1" applyFont="1"/>
    <xf borderId="3" fillId="8" fontId="1" numFmtId="0" xfId="0" applyBorder="1" applyFont="1"/>
    <xf borderId="3" fillId="9" fontId="4" numFmtId="0" xfId="0" applyBorder="1" applyFill="1" applyFont="1"/>
    <xf borderId="0" fillId="0" fontId="2" numFmtId="40" xfId="0" applyFont="1" applyNumberFormat="1"/>
    <xf borderId="3" fillId="3" fontId="4" numFmtId="0" xfId="0" applyBorder="1" applyFont="1"/>
    <xf borderId="3" fillId="10" fontId="2" numFmtId="166" xfId="0" applyBorder="1" applyFill="1" applyFont="1" applyNumberFormat="1"/>
    <xf borderId="1" fillId="2" fontId="1" numFmtId="0" xfId="0" applyBorder="1" applyFont="1"/>
    <xf borderId="0" fillId="0" fontId="2" numFmtId="1" xfId="0" applyFont="1" applyNumberFormat="1"/>
    <xf borderId="6" fillId="11" fontId="7" numFmtId="14" xfId="0" applyBorder="1" applyFill="1" applyFont="1" applyNumberFormat="1"/>
    <xf borderId="6" fillId="11" fontId="7" numFmtId="0" xfId="0" applyBorder="1" applyFont="1"/>
    <xf borderId="0" fillId="0" fontId="2" numFmtId="14" xfId="0" applyFont="1" applyNumberFormat="1"/>
    <xf borderId="0" fillId="0" fontId="3" numFmtId="14" xfId="0" applyFont="1" applyNumberFormat="1"/>
    <xf borderId="3" fillId="7" fontId="4" numFmtId="0" xfId="0" applyBorder="1" applyFont="1"/>
    <xf borderId="4" fillId="12" fontId="4" numFmtId="0" xfId="0" applyAlignment="1" applyBorder="1" applyFill="1" applyFont="1">
      <alignment horizontal="center"/>
    </xf>
    <xf borderId="7" fillId="0" fontId="6" numFmtId="0" xfId="0" applyBorder="1" applyFont="1"/>
    <xf borderId="3" fillId="2" fontId="2" numFmtId="0" xfId="0" applyBorder="1" applyFont="1"/>
    <xf borderId="3" fillId="2" fontId="2" numFmtId="166" xfId="0" applyBorder="1" applyFont="1" applyNumberFormat="1"/>
    <xf borderId="0" fillId="0" fontId="4" numFmtId="0" xfId="0" applyFont="1"/>
    <xf borderId="3" fillId="2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'Graphs Google'!$L$14</c:f>
            </c:strRef>
          </c:tx>
          <c:dPt>
            <c:idx val="0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val>
            <c:numRef>
              <c:f>'Graphs Google'!$M$14:$N$14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Ad Spends Each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Google Ad Spend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'Graphs Google'!$L$2:$L$14</c:f>
            </c:strRef>
          </c:cat>
          <c:val>
            <c:numRef>
              <c:f>'Graphs Google'!$M$2:$M$14</c:f>
              <c:numCache/>
            </c:numRef>
          </c:val>
        </c:ser>
        <c:ser>
          <c:idx val="1"/>
          <c:order val="1"/>
          <c:tx>
            <c:v>Facebook Ad Spend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'Graphs Google'!$L$2:$L$14</c:f>
            </c:strRef>
          </c:cat>
          <c:val>
            <c:numRef>
              <c:f>'Graphs Google'!$N$2:$N$14</c:f>
              <c:numCache/>
            </c:numRef>
          </c:val>
        </c:ser>
        <c:axId val="1958619464"/>
        <c:axId val="1002674708"/>
      </c:barChart>
      <c:catAx>
        <c:axId val="1958619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2674708"/>
      </c:catAx>
      <c:valAx>
        <c:axId val="1002674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861946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552450</xdr:colOff>
      <xdr:row>13</xdr:row>
      <xdr:rowOff>219075</xdr:rowOff>
    </xdr:from>
    <xdr:ext cx="5086350" cy="2686050"/>
    <xdr:graphicFrame>
      <xdr:nvGraphicFramePr>
        <xdr:cNvPr id="59615684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790575</xdr:colOff>
      <xdr:row>14</xdr:row>
      <xdr:rowOff>200025</xdr:rowOff>
    </xdr:from>
    <xdr:ext cx="6534150" cy="3371850"/>
    <xdr:graphicFrame>
      <xdr:nvGraphicFramePr>
        <xdr:cNvPr id="165673303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66" sheet="Google Ads Data"/>
  </cacheSource>
  <cacheFields>
    <cacheField name="date" numFmtId="164">
      <sharedItems containsSemiMixedTypes="0" containsNonDate="0" containsDate="1" containsString="0" minDate="2023-01-01T00:00:00Z" maxDate="2024-01-01T00:00:00Z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</sharedItems>
      <fieldGroup par="6" base="0">
        <rangePr autoStart="0" autoEnd="0" groupBy="days" startDate="2023-01-01T00:00:00Z" endDate="2024-01-01T00:00:00Z"/>
        <groupItems>
          <s v="&lt;01/01/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4"/>
        </groupItems>
      </fieldGroup>
    </cacheField>
    <cacheField name="impressions" numFmtId="0">
      <sharedItems containsSemiMixedTypes="0" containsString="0" containsNumber="1" containsInteger="1">
        <n v="26268.0"/>
        <n v="92883.0"/>
        <n v="14955.0"/>
        <n v="41109.0"/>
        <n v="37989.0"/>
        <n v="61008.0"/>
        <n v="45181.0"/>
        <n v="39529.0"/>
        <n v="84110.0"/>
        <n v="70925.0"/>
        <n v="78307.0"/>
        <n v="70313.0"/>
        <n v="93757.0"/>
        <n v="69770.0"/>
        <n v="69622.0"/>
        <n v="20474.0"/>
        <n v="99778.0"/>
        <n v="61824.0"/>
        <n v="66138.0"/>
        <n v="72950.0"/>
        <n v="69746.0"/>
        <n v="41036.0"/>
        <n v="12284.0"/>
        <n v="67438.0"/>
        <n v="47354.0"/>
        <n v="28310.0"/>
        <n v="25310.0"/>
        <n v="73481.0"/>
        <n v="27514.0"/>
        <n v="51191.0"/>
        <n v="79805.0"/>
        <n v="98345.0"/>
        <n v="32308.0"/>
        <n v="25676.0"/>
        <n v="14162.0"/>
        <n v="75090.0"/>
        <n v="90438.0"/>
        <n v="85990.0"/>
        <n v="81784.0"/>
        <n v="58169.0"/>
        <n v="39755.0"/>
        <n v="78407.0"/>
        <n v="86349.0"/>
        <n v="24867.0"/>
        <n v="91084.0"/>
        <n v="69446.0"/>
        <n v="13572.0"/>
        <n v="10937.0"/>
        <n v="51617.0"/>
        <n v="27084.0"/>
        <n v="81535.0"/>
        <n v="87918.0"/>
        <n v="67900.0"/>
        <n v="86072.0"/>
        <n v="17883.0"/>
        <n v="57777.0"/>
        <n v="81640.0"/>
        <n v="44824.0"/>
        <n v="14995.0"/>
        <n v="67762.0"/>
        <n v="46410.0"/>
        <n v="21953.0"/>
        <n v="33528.0"/>
        <n v="54650.0"/>
        <n v="59691.0"/>
        <n v="25009.0"/>
        <n v="80702.0"/>
        <n v="72929.0"/>
        <n v="82617.0"/>
        <n v="32703.0"/>
        <n v="92119.0"/>
        <n v="25896.0"/>
        <n v="59317.0"/>
        <n v="24567.0"/>
        <n v="24965.0"/>
        <n v="52112.0"/>
        <n v="38805.0"/>
        <n v="28757.0"/>
        <n v="86041.0"/>
        <n v="32225.0"/>
        <n v="34968.0"/>
        <n v="99565.0"/>
        <n v="10200.0"/>
        <n v="72780.0"/>
        <n v="24442.0"/>
        <n v="81070.0"/>
        <n v="13535.0"/>
        <n v="74290.0"/>
        <n v="57867.0"/>
        <n v="52354.0"/>
        <n v="70893.0"/>
        <n v="90617.0"/>
        <n v="27366.0"/>
        <n v="72668.0"/>
        <n v="19183.0"/>
        <n v="95464.0"/>
        <n v="81947.0"/>
        <n v="82060.0"/>
        <n v="56322.0"/>
        <n v="49678.0"/>
        <n v="72964.0"/>
        <n v="94115.0"/>
        <n v="20642.0"/>
        <n v="79972.0"/>
        <n v="93812.0"/>
        <n v="22628.0"/>
        <n v="87129.0"/>
        <n v="95649.0"/>
        <n v="21527.0"/>
        <n v="43354.0"/>
        <n v="84934.0"/>
        <n v="84996.0"/>
        <n v="83171.0"/>
        <n v="95234.0"/>
        <n v="45282.0"/>
        <n v="77080.0"/>
        <n v="26490.0"/>
        <n v="62976.0"/>
        <n v="40110.0"/>
        <n v="67890.0"/>
        <n v="12671.0"/>
        <n v="94264.0"/>
        <n v="59532.0"/>
        <n v="51990.0"/>
        <n v="88738.0"/>
        <n v="50381.0"/>
        <n v="70628.0"/>
        <n v="22138.0"/>
        <n v="78604.0"/>
        <n v="68678.0"/>
        <n v="10897.0"/>
        <n v="29715.0"/>
        <n v="44675.0"/>
        <n v="98876.0"/>
        <n v="17231.0"/>
        <n v="58192.0"/>
        <n v="46401.0"/>
        <n v="92964.0"/>
        <n v="65281.0"/>
        <n v="80391.0"/>
        <n v="88277.0"/>
        <n v="60190.0"/>
        <n v="74681.0"/>
        <n v="87812.0"/>
        <n v="67385.0"/>
        <n v="74469.0"/>
        <n v="32768.0"/>
        <n v="76936.0"/>
        <n v="59774.0"/>
        <n v="41440.0"/>
        <n v="23140.0"/>
        <n v="53053.0"/>
        <n v="95715.0"/>
        <n v="26361.0"/>
        <n v="55684.0"/>
        <n v="66949.0"/>
        <n v="76208.0"/>
        <n v="72025.0"/>
        <n v="91551.0"/>
        <n v="43530.0"/>
        <n v="86963.0"/>
        <n v="87979.0"/>
        <n v="19976.0"/>
        <n v="44371.0"/>
        <n v="61532.0"/>
        <n v="78483.0"/>
        <n v="93791.0"/>
        <n v="28076.0"/>
        <n v="32284.0"/>
        <n v="46812.0"/>
        <n v="57004.0"/>
        <n v="73312.0"/>
        <n v="76451.0"/>
        <n v="67806.0"/>
        <n v="70975.0"/>
        <n v="29461.0"/>
        <n v="74614.0"/>
        <n v="28898.0"/>
        <n v="25283.0"/>
        <n v="28922.0"/>
        <n v="40708.0"/>
        <n v="82221.0"/>
        <n v="25683.0"/>
        <n v="63264.0"/>
        <n v="75831.0"/>
        <n v="86875.0"/>
        <n v="24285.0"/>
        <n v="42691.0"/>
        <n v="73001.0"/>
        <n v="50947.0"/>
        <n v="46456.0"/>
        <n v="84562.0"/>
        <n v="96354.0"/>
        <n v="37440.0"/>
        <n v="54837.0"/>
        <n v="62057.0"/>
        <n v="86230.0"/>
        <n v="46938.0"/>
        <n v="73367.0"/>
        <n v="28556.0"/>
        <n v="31091.0"/>
        <n v="22502.0"/>
        <n v="23195.0"/>
        <n v="16705.0"/>
        <n v="88274.0"/>
        <n v="39115.0"/>
        <n v="18005.0"/>
        <n v="53771.0"/>
        <n v="88214.0"/>
        <n v="40749.0"/>
        <n v="48390.0"/>
        <n v="36444.0"/>
        <n v="50980.0"/>
        <n v="53099.0"/>
        <n v="73679.0"/>
        <n v="38948.0"/>
        <n v="39670.0"/>
        <n v="48916.0"/>
        <n v="64865.0"/>
        <n v="98040.0"/>
        <n v="32581.0"/>
        <n v="55945.0"/>
        <n v="84152.0"/>
        <n v="17289.0"/>
        <n v="54915.0"/>
        <n v="94500.0"/>
        <n v="75026.0"/>
        <n v="30890.0"/>
        <n v="91216.0"/>
        <n v="72902.0"/>
        <n v="11758.0"/>
        <n v="14164.0"/>
        <n v="11775.0"/>
        <n v="54177.0"/>
        <n v="88744.0"/>
        <n v="23927.0"/>
        <n v="89752.0"/>
        <n v="76685.0"/>
        <n v="58195.0"/>
        <n v="26918.0"/>
        <n v="50916.0"/>
        <n v="14691.0"/>
        <n v="69387.0"/>
        <n v="88615.0"/>
        <n v="54624.0"/>
        <n v="22282.0"/>
        <n v="97918.0"/>
        <n v="32836.0"/>
        <n v="15457.0"/>
        <n v="48461.0"/>
        <n v="15448.0"/>
        <n v="63862.0"/>
        <n v="62801.0"/>
        <n v="53734.0"/>
        <n v="94469.0"/>
        <n v="78852.0"/>
        <n v="54645.0"/>
        <n v="53416.0"/>
        <n v="33824.0"/>
        <n v="12008.0"/>
        <n v="14356.0"/>
        <n v="11629.0"/>
        <n v="91727.0"/>
        <n v="80004.0"/>
        <n v="23005.0"/>
        <n v="55696.0"/>
        <n v="67655.0"/>
        <n v="72129.0"/>
        <n v="40518.0"/>
        <n v="14436.0"/>
        <n v="27249.0"/>
        <n v="40345.0"/>
        <n v="62184.0"/>
        <n v="78606.0"/>
        <n v="91632.0"/>
        <n v="87605.0"/>
        <n v="49315.0"/>
        <n v="53875.0"/>
        <n v="18309.0"/>
        <n v="83535.0"/>
        <n v="66799.0"/>
        <n v="87053.0"/>
        <n v="65507.0"/>
        <n v="18907.0"/>
        <n v="88312.0"/>
        <n v="33076.0"/>
        <n v="55614.0"/>
        <n v="54210.0"/>
        <n v="42018.0"/>
        <n v="23750.0"/>
        <n v="16272.0"/>
        <n v="83037.0"/>
        <n v="85760.0"/>
        <n v="59118.0"/>
        <n v="59548.0"/>
        <n v="18054.0"/>
        <n v="80909.0"/>
        <n v="18941.0"/>
        <n v="50637.0"/>
        <n v="55842.0"/>
        <n v="98340.0"/>
        <n v="64827.0"/>
        <n v="47590.0"/>
        <n v="17032.0"/>
        <n v="98321.0"/>
        <n v="13212.0"/>
        <n v="12657.0"/>
        <n v="19896.0"/>
        <n v="88487.0"/>
        <n v="35632.0"/>
        <n v="94021.0"/>
        <n v="68712.0"/>
        <n v="20540.0"/>
        <n v="35478.0"/>
        <n v="53934.0"/>
        <n v="93139.0"/>
        <n v="76825.0"/>
        <n v="69812.0"/>
        <n v="55567.0"/>
        <n v="71139.0"/>
        <n v="72501.0"/>
        <n v="60693.0"/>
        <n v="76237.0"/>
        <n v="25965.0"/>
        <n v="97709.0"/>
        <n v="62949.0"/>
        <n v="49105.0"/>
        <n v="17204.0"/>
        <n v="16782.0"/>
        <n v="14376.0"/>
        <n v="78944.0"/>
        <n v="26974.0"/>
        <n v="38378.0"/>
        <n v="99954.0"/>
        <n v="92967.0"/>
        <n v="57849.0"/>
        <n v="106053.0"/>
        <n v="76114.0"/>
        <n v="56666.0"/>
        <n v="71577.0"/>
        <n v="106918.0"/>
        <n v="71077.0"/>
        <n v="44348.0"/>
        <n v="64166.0"/>
        <n v="34386.0"/>
        <n v="110153.0"/>
        <n v="24831.0"/>
        <n v="108166.0"/>
        <n v="91150.0"/>
        <n v="46523.0"/>
        <n v="98159.0"/>
        <n v="83588.0"/>
        <n v="104190.0"/>
        <n v="24959.0"/>
        <n v="67027.0"/>
        <n v="70871.0"/>
        <n v="80032.0"/>
        <n v="108915.0"/>
        <n v="31756.0"/>
        <n v="95173.0"/>
        <n v="100035.0"/>
        <n v="59646.0"/>
        <n v="47837.0"/>
        <n v="88825.0"/>
      </sharedItems>
    </cacheField>
    <cacheField name="clicks" numFmtId="0">
      <sharedItems containsSemiMixedTypes="0" containsString="0" containsNumber="1" containsInteger="1">
        <n v="522.0"/>
        <n v="1579.0"/>
        <n v="276.0"/>
        <n v="702.0"/>
        <n v="554.0"/>
        <n v="1085.0"/>
        <n v="1246.0"/>
        <n v="395.0"/>
        <n v="1724.0"/>
        <n v="1312.0"/>
        <n v="783.0"/>
        <n v="1265.0"/>
        <n v="1818.0"/>
        <n v="1276.0"/>
        <n v="1879.0"/>
        <n v="583.0"/>
        <n v="2235.0"/>
        <n v="1619.0"/>
        <n v="773.0"/>
        <n v="1028.0"/>
        <n v="1513.0"/>
        <n v="508.0"/>
        <n v="159.0"/>
        <n v="1139.0"/>
        <n v="1235.0"/>
        <n v="322.0"/>
        <n v="394.0"/>
        <n v="734.0"/>
        <n v="1494.0"/>
        <n v="1596.0"/>
        <n v="2655.0"/>
        <n v="416.0"/>
        <n v="629.0"/>
        <n v="409.0"/>
        <n v="2064.0"/>
        <n v="1003.0"/>
        <n v="2209.0"/>
        <n v="891.0"/>
        <n v="1547.0"/>
        <n v="1121.0"/>
        <n v="1795.0"/>
        <n v="1761.0"/>
        <n v="509.0"/>
        <n v="1803.0"/>
        <n v="1951.0"/>
        <n v="184.0"/>
        <n v="701.0"/>
        <n v="603.0"/>
        <n v="1223.0"/>
        <n v="975.0"/>
        <n v="916.0"/>
        <n v="946.0"/>
        <n v="482.0"/>
        <n v="901.0"/>
        <n v="2155.0"/>
        <n v="1290.0"/>
        <n v="169.0"/>
        <n v="1314.0"/>
        <n v="1299.0"/>
        <n v="568.0"/>
        <n v="512.0"/>
        <n v="1306.0"/>
        <n v="1331.0"/>
        <n v="592.0"/>
        <n v="1985.0"/>
        <n v="2093.0"/>
        <n v="1949.0"/>
        <n v="817.0"/>
        <n v="1538.0"/>
        <n v="507.0"/>
        <n v="622.0"/>
        <n v="309.0"/>
        <n v="1469.0"/>
        <n v="667.0"/>
        <n v="578.0"/>
        <n v="920.0"/>
        <n v="757.0"/>
        <n v="1712.0"/>
        <n v="124.0"/>
        <n v="1841.0"/>
        <n v="589.0"/>
        <n v="1086.0"/>
        <n v="312.0"/>
        <n v="2213.0"/>
        <n v="758.0"/>
        <n v="696.0"/>
        <n v="1198.0"/>
        <n v="1739.0"/>
        <n v="325.0"/>
        <n v="2172.0"/>
        <n v="448.0"/>
        <n v="1785.0"/>
        <n v="2114.0"/>
        <n v="1928.0"/>
        <n v="597.0"/>
        <n v="869.0"/>
        <n v="1955.0"/>
        <n v="1665.0"/>
        <n v="433.0"/>
        <n v="1007.0"/>
        <n v="1979.0"/>
        <n v="359.0"/>
        <n v="1054.0"/>
        <n v="1817.0"/>
        <n v="398.0"/>
        <n v="715.0"/>
        <n v="2361.0"/>
        <n v="1971.0"/>
        <n v="2062.0"/>
        <n v="1019.0"/>
        <n v="1041.0"/>
        <n v="963.0"/>
        <n v="550.0"/>
        <n v="699.0"/>
        <n v="842.0"/>
        <n v="1357.0"/>
        <n v="219.0"/>
        <n v="1300.0"/>
        <n v="1375.0"/>
        <n v="1346.0"/>
        <n v="1757.0"/>
        <n v="911.0"/>
        <n v="1808.0"/>
        <n v="456.0"/>
        <n v="1965.0"/>
        <n v="1936.0"/>
        <n v="232.0"/>
        <n v="763.0"/>
        <n v="768.0"/>
        <n v="1522.0"/>
        <n v="349.0"/>
        <n v="1187.0"/>
        <n v="969.0"/>
        <n v="1422.0"/>
        <n v="1827.0"/>
        <n v="819.0"/>
        <n v="1129.0"/>
        <n v="625.0"/>
        <n v="1112.0"/>
        <n v="1001.0"/>
        <n v="1886.0"/>
        <n v="691.0"/>
        <n v="2100.0"/>
        <n v="1267.0"/>
        <n v="1152.0"/>
        <n v="310.0"/>
        <n v="1183.0"/>
        <n v="1713.0"/>
        <n v="1219.0"/>
        <n v="1988.0"/>
        <n v="1364.0"/>
        <n v="1577.0"/>
        <n v="2087.0"/>
        <n v="2304.0"/>
        <n v="1205.0"/>
        <n v="423.0"/>
        <n v="1255.0"/>
        <n v="2079.0"/>
        <n v="2729.0"/>
        <n v="505.0"/>
        <n v="345.0"/>
        <n v="1156.0"/>
        <n v="1339.0"/>
        <n v="2045.0"/>
        <n v="2262.0"/>
        <n v="949.0"/>
        <n v="802.0"/>
        <n v="450.0"/>
        <n v="1283.0"/>
        <n v="780.0"/>
        <n v="485.0"/>
        <n v="407.0"/>
        <n v="907.0"/>
        <n v="2376.0"/>
        <n v="1252.0"/>
        <n v="1304.0"/>
        <n v="2371.0"/>
        <n v="536.0"/>
        <n v="1423.0"/>
        <n v="881.0"/>
        <n v="1231.0"/>
        <n v="1090.0"/>
        <n v="2765.0"/>
        <n v="1093.0"/>
        <n v="2086.0"/>
        <n v="1621.0"/>
        <n v="462.0"/>
        <n v="914.0"/>
        <n v="265.0"/>
        <n v="361.0"/>
        <n v="377.0"/>
        <n v="1933.0"/>
        <n v="441.0"/>
        <n v="358.0"/>
        <n v="1559.0"/>
        <n v="1146.0"/>
        <n v="846.0"/>
        <n v="863.0"/>
        <n v="790.0"/>
        <n v="854.0"/>
        <n v="1981.0"/>
        <n v="844.0"/>
        <n v="616.0"/>
        <n v="1920.0"/>
        <n v="1647.0"/>
        <n v="329.0"/>
        <n v="1169.0"/>
        <n v="1253.0"/>
        <n v="288.0"/>
        <n v="713.0"/>
        <n v="2088.0"/>
        <n v="2130.0"/>
        <n v="759.0"/>
        <n v="1213.0"/>
        <n v="1399.0"/>
        <n v="262.0"/>
        <n v="193.0"/>
        <n v="1403.0"/>
        <n v="2307.0"/>
        <n v="703.0"/>
        <n v="1409.0"/>
        <n v="1257.0"/>
        <n v="1443.0"/>
        <n v="390.0"/>
        <n v="621.0"/>
        <n v="289.0"/>
        <n v="1325.0"/>
        <n v="1302.0"/>
        <n v="1431.0"/>
        <n v="586.0"/>
        <n v="2514.0"/>
        <n v="1821.0"/>
        <n v="820.0"/>
        <n v="205.0"/>
        <n v="659.0"/>
        <n v="410.0"/>
        <n v="628.0"/>
        <n v="779.0"/>
        <n v="1530.0"/>
        <n v="1663.0"/>
        <n v="551.0"/>
        <n v="1404.0"/>
        <n v="575.0"/>
        <n v="174.0"/>
        <n v="150.0"/>
        <n v="151.0"/>
        <n v="1592.0"/>
        <n v="669.0"/>
        <n v="1615.0"/>
        <n v="872.0"/>
        <n v="660.0"/>
        <n v="760.0"/>
        <n v="1069.0"/>
        <n v="1610.0"/>
        <n v="2255.0"/>
        <n v="1611.0"/>
        <n v="774.0"/>
        <n v="1293.0"/>
        <n v="1904.0"/>
        <n v="1162.0"/>
        <n v="1488.0"/>
        <n v="1074.0"/>
        <n v="274.0"/>
        <n v="2508.0"/>
        <n v="873.0"/>
        <n v="1134.0"/>
        <n v="861.0"/>
        <n v="722.0"/>
        <n v="315.0"/>
        <n v="235.0"/>
        <n v="1826.0"/>
        <n v="1989.0"/>
        <n v="922.0"/>
        <n v="530.0"/>
        <n v="465.0"/>
        <n v="896.0"/>
        <n v="988.0"/>
        <n v="1868.0"/>
        <n v="1199.0"/>
        <n v="454.0"/>
        <n v="1877.0"/>
        <n v="221.0"/>
        <n v="230.0"/>
        <n v="493.0"/>
        <n v="2610.0"/>
        <n v="694.0"/>
        <n v="2171.0"/>
        <n v="1635.0"/>
        <n v="501.0"/>
        <n v="418.0"/>
        <n v="728.0"/>
        <n v="2393.0"/>
        <n v="1172.0"/>
        <n v="566.0"/>
        <n v="2027.0"/>
        <n v="1044.0"/>
        <n v="716.0"/>
        <n v="1478.0"/>
        <n v="2335.0"/>
        <n v="755.0"/>
        <n v="756.0"/>
        <n v="228.0"/>
        <n v="245.0"/>
        <n v="1839.0"/>
        <n v="679.0"/>
        <n v="1013.0"/>
        <n v="2447.0"/>
        <n v="670.0"/>
        <n v="2767.0"/>
        <n v="1688.0"/>
        <n v="1666.0"/>
        <n v="1640.0"/>
        <n v="828.0"/>
        <n v="343.0"/>
        <n v="2224.0"/>
        <n v="741.0"/>
        <n v="3006.0"/>
        <n v="2488.0"/>
        <n v="673.0"/>
        <n v="1648.0"/>
        <n v="2448.0"/>
        <n v="2719.0"/>
        <n v="1058.0"/>
        <n v="1728.0"/>
        <n v="1317.0"/>
        <n v="574.0"/>
        <n v="2150.0"/>
        <n v="2290.0"/>
        <n v="1067.0"/>
        <n v="1166.0"/>
        <n v="2184.0"/>
      </sharedItems>
    </cacheField>
    <cacheField name="spend" numFmtId="165">
      <sharedItems containsSemiMixedTypes="0" containsString="0" containsNumber="1">
        <n v="642.96"/>
        <n v="2194.82"/>
        <n v="312.63"/>
        <n v="1265.33"/>
        <n v="798.68"/>
        <n v="1987.27"/>
        <n v="1259.46"/>
        <n v="660.13"/>
        <n v="2344.98"/>
        <n v="2322.43"/>
        <n v="1417.35"/>
        <n v="2164.23"/>
        <n v="2182.66"/>
        <n v="2349.29"/>
        <n v="2575.31"/>
        <n v="1167.01"/>
        <n v="3888.94"/>
        <n v="1943.74"/>
        <n v="1276.79"/>
        <n v="1275.45"/>
        <n v="2436.71"/>
        <n v="712.38"/>
        <n v="161.28"/>
        <n v="1732.34"/>
        <n v="2397.72"/>
        <n v="590.6"/>
        <n v="758.08"/>
        <n v="1241.82"/>
        <n v="881.54"/>
        <n v="2331.85"/>
        <n v="2489.91"/>
        <n v="3027.05"/>
        <n v="758.52"/>
        <n v="742.29"/>
        <n v="450.2"/>
        <n v="3675.65"/>
        <n v="1395.36"/>
        <n v="3535.9"/>
        <n v="962.76"/>
        <n v="3017.22"/>
        <n v="1244.41"/>
        <n v="2082.8"/>
        <n v="1761.51"/>
        <n v="764.66"/>
        <n v="2452.7"/>
        <n v="3415.0"/>
        <n v="350.7"/>
        <n v="354.88"/>
        <n v="1396.96"/>
        <n v="1183.78"/>
        <n v="2128.06"/>
        <n v="1580.94"/>
        <n v="1567.47"/>
        <n v="1505.39"/>
        <n v="627.69"/>
        <n v="1027.5"/>
        <n v="2952.75"/>
        <n v="2246.22"/>
        <n v="276.19"/>
        <n v="1708.95"/>
        <n v="2066.17"/>
        <n v="693.67"/>
        <n v="815.63"/>
        <n v="2298.79"/>
        <n v="1623.95"/>
        <n v="610.49"/>
        <n v="2104.38"/>
        <n v="2804.7"/>
        <n v="2983.13"/>
        <n v="964.73"/>
        <n v="2092.2"/>
        <n v="695.35"/>
        <n v="1170.91"/>
        <n v="318.83"/>
        <n v="860.69"/>
        <n v="2571.72"/>
        <n v="1041.21"/>
        <n v="838.12"/>
        <n v="1620.32"/>
        <n v="1431.27"/>
        <n v="1204.29"/>
        <n v="2123.52"/>
        <n v="200.34"/>
        <n v="3369.64"/>
        <n v="612.61"/>
        <n v="1357.92"/>
        <n v="425.21"/>
        <n v="3984.91"/>
        <n v="962.73"/>
        <n v="912.16"/>
        <n v="1737.23"/>
        <n v="3305.7"/>
        <n v="494.99"/>
        <n v="3020.15"/>
        <n v="763.09"/>
        <n v="2802.72"/>
        <n v="3657.62"/>
        <n v="3779.68"/>
        <n v="847.75"/>
        <n v="1130.17"/>
        <n v="2600.72"/>
        <n v="2048.97"/>
        <n v="732.58"/>
        <n v="1440.93"/>
        <n v="3919.27"/>
        <n v="395.76"/>
        <n v="1823.87"/>
        <n v="2580.61"/>
        <n v="740.74"/>
        <n v="1266.15"/>
        <n v="3423.68"/>
        <n v="3707.18"/>
        <n v="2062.64"/>
        <n v="1966.67"/>
        <n v="2082.97"/>
        <n v="1734.3"/>
        <n v="1013.82"/>
        <n v="831.84"/>
        <n v="1103.42"/>
        <n v="2335.41"/>
        <n v="326.62"/>
        <n v="1743.12"/>
        <n v="2214.05"/>
        <n v="2073.67"/>
        <n v="3057.2"/>
        <n v="966.6"/>
        <n v="3561.91"/>
        <n v="574.61"/>
        <n v="2397.42"/>
        <n v="3776.6"/>
        <n v="461.89"/>
        <n v="1290.61"/>
        <n v="1068.08"/>
        <n v="2969.24"/>
        <n v="360.28"/>
        <n v="1483.89"/>
        <n v="1299.5"/>
        <n v="2474.88"/>
        <n v="2412.78"/>
        <n v="992.18"/>
        <n v="1627.12"/>
        <n v="1214.39"/>
        <n v="1780.39"/>
        <n v="1471.55"/>
        <n v="3396.2"/>
        <n v="3799.63"/>
        <n v="898.82"/>
        <n v="3591.6"/>
        <n v="1267.2"/>
        <n v="2073.65"/>
        <n v="403.09"/>
        <n v="1301.39"/>
        <n v="3289.53"/>
        <n v="1013.73"/>
        <n v="2060.92"/>
        <n v="2167.33"/>
        <n v="2578.19"/>
        <n v="2082.09"/>
        <n v="2671.82"/>
        <n v="890.14"/>
        <n v="2465.83"/>
        <n v="1446.37"/>
        <n v="436.19"/>
        <n v="2385.82"/>
        <n v="1445.01"/>
        <n v="2620.54"/>
        <n v="5131.11"/>
        <n v="651.92"/>
        <n v="677.06"/>
        <n v="1410.63"/>
        <n v="2237.12"/>
        <n v="3518.09"/>
        <n v="4005.42"/>
        <n v="1870.08"/>
        <n v="1531.85"/>
        <n v="649.08"/>
        <n v="2168.87"/>
        <n v="1303.01"/>
        <n v="868.92"/>
        <n v="485.28"/>
        <n v="1752.03"/>
        <n v="3445.47"/>
        <n v="723.84"/>
        <n v="2329.88"/>
        <n v="1304.29"/>
        <n v="3486.38"/>
        <n v="788.94"/>
        <n v="1686.97"/>
        <n v="2676.21"/>
        <n v="1507.16"/>
        <n v="1797.38"/>
        <n v="1418.1"/>
        <n v="3373.73"/>
        <n v="1727.33"/>
        <n v="1207.29"/>
        <n v="2191.1"/>
        <n v="3464.03"/>
        <n v="1787.39"/>
        <n v="2967.18"/>
        <n v="518.12"/>
        <n v="1343.69"/>
        <n v="331.9"/>
        <n v="676.64"/>
        <n v="683.33"/>
        <n v="2049.19"/>
        <n v="495.03"/>
        <n v="490.87"/>
        <n v="2744.47"/>
        <n v="2006.86"/>
        <n v="1280.17"/>
        <n v="939.97"/>
        <n v="1597.88"/>
        <n v="1114.16"/>
        <n v="940.38"/>
        <n v="3091.86"/>
        <n v="1227.56"/>
        <n v="1351.95"/>
        <n v="708.79"/>
        <n v="3763.2"/>
        <n v="1943.54"/>
        <n v="460.69"/>
        <n v="2256.65"/>
        <n v="1943.49"/>
        <n v="537.03"/>
        <n v="1063.7"/>
        <n v="2589.67"/>
        <n v="3515.71"/>
        <n v="835.88"/>
        <n v="2220.1"/>
        <n v="2127.57"/>
        <n v="409.03"/>
        <n v="470.98"/>
        <n v="220.14"/>
        <n v="2371.38"/>
        <n v="2630.37"/>
        <n v="914.48"/>
        <n v="2775.93"/>
        <n v="2213.43"/>
        <n v="2496.79"/>
        <n v="667.43"/>
        <n v="913.12"/>
        <n v="578.82"/>
        <n v="1418.06"/>
        <n v="2422.91"/>
        <n v="1431.14"/>
        <n v="679.77"/>
        <n v="2991.85"/>
        <n v="3023.31"/>
        <n v="1576.12"/>
        <n v="404.98"/>
        <n v="1100.64"/>
        <n v="435.57"/>
        <n v="2171.94"/>
        <n v="1086.45"/>
        <n v="1098.59"/>
        <n v="1652.82"/>
        <n v="2029.8"/>
        <n v="927.21"/>
        <n v="2458.47"/>
        <n v="1012.01"/>
        <n v="295.99"/>
        <n v="266.8"/>
        <n v="291.77"/>
        <n v="1866.55"/>
        <n v="3168.23"/>
        <n v="1071.11"/>
        <n v="1954.37"/>
        <n v="1597.13"/>
        <n v="2391.22"/>
        <n v="865.18"/>
        <n v="269.6"/>
        <n v="1056.74"/>
        <n v="1603.71"/>
        <n v="2560.79"/>
        <n v="3429.1"/>
        <n v="1878.63"/>
        <n v="2321.18"/>
        <n v="1192.33"/>
        <n v="2456.7"/>
        <n v="458.75"/>
        <n v="3523.5"/>
        <n v="1464.5"/>
        <n v="1771.44"/>
        <n v="1439.58"/>
        <n v="282.37"/>
        <n v="2708.7"/>
        <n v="1336.0"/>
        <n v="1781.2"/>
        <n v="948.13"/>
        <n v="1308.1"/>
        <n v="442.22"/>
        <n v="342.11"/>
        <n v="2027.76"/>
        <n v="2865.07"/>
        <n v="1254.24"/>
        <n v="869.4"/>
        <n v="615.71"/>
        <n v="1796.17"/>
        <n v="465.94"/>
        <n v="914.2"/>
        <n v="1176.2"/>
        <n v="3101.64"/>
        <n v="1499.12"/>
        <n v="1853.15"/>
        <n v="727.6"/>
        <n v="2272.29"/>
        <n v="370.67"/>
        <n v="456.1"/>
        <n v="690.78"/>
        <n v="2714.78"/>
        <n v="1202.04"/>
        <n v="2497.66"/>
        <n v="2453.01"/>
        <n v="536.25"/>
        <n v="418.64"/>
        <n v="1390.68"/>
        <n v="2704.84"/>
        <n v="2053.53"/>
        <n v="1337.03"/>
        <n v="725.48"/>
        <n v="2534.32"/>
        <n v="1586.9"/>
        <n v="1260.47"/>
        <n v="1819.16"/>
        <n v="422.21"/>
        <n v="3502.86"/>
        <n v="1133.08"/>
        <n v="1194.82"/>
        <n v="377.54"/>
        <n v="314.15"/>
        <n v="373.66"/>
        <n v="3494.85"/>
        <n v="1128.37"/>
        <n v="1610.95"/>
        <n v="2938.64"/>
        <n v="2723.0"/>
        <n v="1234.72"/>
        <n v="4677.88"/>
        <n v="1183.87"/>
        <n v="2684.94"/>
        <n v="2262.97"/>
        <n v="3319.16"/>
        <n v="2709.1"/>
        <n v="1559.09"/>
        <n v="1484.03"/>
        <n v="587.99"/>
        <n v="3293.13"/>
        <n v="1336.38"/>
        <n v="4931.5"/>
        <n v="3110.49"/>
        <n v="1018.62"/>
        <n v="2720.97"/>
        <n v="3894.11"/>
        <n v="3562.36"/>
        <n v="381.62"/>
        <n v="1313.19"/>
        <n v="1145.06"/>
        <n v="2264.58"/>
        <n v="1436.48"/>
        <n v="695.48"/>
        <n v="2516.56"/>
        <n v="3894.35"/>
        <n v="1163.75"/>
        <n v="1750.83"/>
        <n v="2425.44"/>
      </sharedItems>
    </cacheField>
    <cacheField name="conversions" numFmtId="0">
      <sharedItems containsSemiMixedTypes="0" containsString="0" containsNumber="1" containsInteger="1">
        <n v="9.0"/>
        <n v="37.0"/>
        <n v="6.0"/>
        <n v="13.0"/>
        <n v="16.0"/>
        <n v="26.0"/>
        <n v="32.0"/>
        <n v="17.0"/>
        <n v="27.0"/>
        <n v="25.0"/>
        <n v="11.0"/>
        <n v="53.0"/>
        <n v="22.0"/>
        <n v="18.0"/>
        <n v="10.0"/>
        <n v="3.0"/>
        <n v="24.0"/>
        <n v="28.0"/>
        <n v="7.0"/>
        <n v="30.0"/>
        <n v="55.0"/>
        <n v="8.0"/>
        <n v="15.0"/>
        <n v="33.0"/>
        <n v="20.0"/>
        <n v="39.0"/>
        <n v="12.0"/>
        <n v="4.0"/>
        <n v="14.0"/>
        <n v="23.0"/>
        <n v="35.0"/>
        <n v="2.0"/>
        <n v="29.0"/>
        <n v="47.0"/>
        <n v="5.0"/>
        <n v="36.0"/>
        <n v="1.0"/>
        <n v="31.0"/>
        <n v="21.0"/>
        <n v="42.0"/>
        <n v="51.0"/>
        <n v="43.0"/>
        <n v="45.0"/>
        <n v="56.0"/>
        <n v="40.0"/>
        <n v="34.0"/>
        <n v="19.0"/>
        <n v="41.0"/>
        <n v="46.0"/>
        <n v="44.0"/>
        <n v="38.0"/>
        <n v="63.0"/>
        <n v="49.0"/>
        <n v="59.0"/>
        <n v="52.0"/>
        <n v="50.0"/>
        <n v="62.0"/>
        <n v="54.0"/>
      </sharedItems>
    </cacheField>
    <cacheField name="revenue" numFmtId="165">
      <sharedItems containsSemiMixedTypes="0" containsString="0" containsNumber="1">
        <n v="1385.03"/>
        <n v="5509.8"/>
        <n v="700.19"/>
        <n v="2728.06"/>
        <n v="2748.29"/>
        <n v="2935.19"/>
        <n v="5185.01"/>
        <n v="1433.6"/>
        <n v="6125.59"/>
        <n v="3099.87"/>
        <n v="3156.09"/>
        <n v="3110.42"/>
        <n v="3597.94"/>
        <n v="3539.26"/>
        <n v="2650.13"/>
        <n v="1464.02"/>
        <n v="8582.5"/>
        <n v="3334.5"/>
        <n v="2471.87"/>
        <n v="3238.22"/>
        <n v="4242.0"/>
        <n v="1205.0"/>
        <n v="518.23"/>
        <n v="4639.04"/>
        <n v="5031.51"/>
        <n v="965.62"/>
        <n v="1300.67"/>
        <n v="3145.28"/>
        <n v="2706.28"/>
        <n v="3322.89"/>
        <n v="4892.37"/>
        <n v="7583.58"/>
        <n v="1549.77"/>
        <n v="2330.67"/>
        <n v="991.28"/>
        <n v="6671.52"/>
        <n v="2372.53"/>
        <n v="6250.16"/>
        <n v="3049.55"/>
        <n v="2629.16"/>
        <n v="5521.37"/>
        <n v="5574.01"/>
        <n v="4737.61"/>
        <n v="1948.97"/>
        <n v="6977.24"/>
        <n v="4617.09"/>
        <n v="707.79"/>
        <n v="729.3"/>
        <n v="1798.5"/>
        <n v="1356.4"/>
        <n v="4435.91"/>
        <n v="1524.54"/>
        <n v="2223.33"/>
        <n v="4408.55"/>
        <n v="691.38"/>
        <n v="1914.41"/>
        <n v="5690.84"/>
        <n v="3222.16"/>
        <n v="381.08"/>
        <n v="4405.96"/>
        <n v="3695.72"/>
        <n v="2447.75"/>
        <n v="2046.78"/>
        <n v="3317.19"/>
        <n v="4026.34"/>
        <n v="1130.9"/>
        <n v="4866.69"/>
        <n v="6936.83"/>
        <n v="7401.49"/>
        <n v="1895.3"/>
        <n v="4954.84"/>
        <n v="1285.45"/>
        <n v="995.53"/>
        <n v="959.46"/>
        <n v="1031.1"/>
        <n v="6948.81"/>
        <n v="1067.91"/>
        <n v="2470.15"/>
        <n v="4071.62"/>
        <n v="1533.2"/>
        <n v="2202.06"/>
        <n v="4041.2"/>
        <n v="203.21"/>
        <n v="3809.9"/>
        <n v="1422.56"/>
        <n v="2675.11"/>
        <n v="999.26"/>
        <n v="5622.72"/>
        <n v="1342.52"/>
        <n v="1643.15"/>
        <n v="2628.49"/>
        <n v="4555.27"/>
        <n v="821.56"/>
        <n v="6488.34"/>
        <n v="723.42"/>
        <n v="4959.94"/>
        <n v="6520.93"/>
        <n v="5627.87"/>
        <n v="1322.5"/>
        <n v="1752.21"/>
        <n v="7093.93"/>
        <n v="2369.48"/>
        <n v="907.06"/>
        <n v="3289.77"/>
        <n v="6085.57"/>
        <n v="1309.91"/>
        <n v="3558.76"/>
        <n v="6199.46"/>
        <n v="726.81"/>
        <n v="3273.11"/>
        <n v="10002.84"/>
        <n v="4615.45"/>
        <n v="6023.74"/>
        <n v="3885.46"/>
        <n v="4501.82"/>
        <n v="3491.63"/>
        <n v="1207.33"/>
        <n v="2278.85"/>
        <n v="2020.36"/>
        <n v="3315.75"/>
        <n v="591.86"/>
        <n v="2690.14"/>
        <n v="3538.09"/>
        <n v="4637.49"/>
        <n v="7262.44"/>
        <n v="2748.82"/>
        <n v="2997.07"/>
        <n v="979.94"/>
        <n v="6809.07"/>
        <n v="5813.06"/>
        <n v="447.78"/>
        <n v="2358.84"/>
        <n v="1734.69"/>
        <n v="2127.81"/>
        <n v="920.65"/>
        <n v="4689.11"/>
        <n v="1955.08"/>
        <n v="5772.04"/>
        <n v="6657.83"/>
        <n v="1185.37"/>
        <n v="4606.56"/>
        <n v="2140.09"/>
        <n v="3310.87"/>
        <n v="2575.22"/>
        <n v="3591.49"/>
        <n v="6356.38"/>
        <n v="1717.45"/>
        <n v="8363.6"/>
        <n v="3833.31"/>
        <n v="3855.16"/>
        <n v="656.49"/>
        <n v="2701.33"/>
        <n v="4257.89"/>
        <n v="2500.41"/>
        <n v="3326.74"/>
        <n v="5079.13"/>
        <n v="3051.0"/>
        <n v="6960.52"/>
        <n v="6710.45"/>
        <n v="1125.69"/>
        <n v="4076.46"/>
        <n v="2768.36"/>
        <n v="1471.04"/>
        <n v="4818.87"/>
        <n v="3684.03"/>
        <n v="9144.05"/>
        <n v="6937.93"/>
        <n v="1199.54"/>
        <n v="879.21"/>
        <n v="2934.58"/>
        <n v="5617.45"/>
        <n v="6648.59"/>
        <n v="6036.64"/>
        <n v="3758.31"/>
        <n v="2208.52"/>
        <n v="1515.93"/>
        <n v="4257.68"/>
        <n v="2316.86"/>
        <n v="1495.48"/>
        <n v="1370.21"/>
        <n v="2474.45"/>
        <n v="8621.76"/>
        <n v="2525.96"/>
        <n v="2395.77"/>
        <n v="3389.34"/>
        <n v="4378.14"/>
        <n v="873.32"/>
        <n v="4366.19"/>
        <n v="3349.83"/>
        <n v="1851.96"/>
        <n v="2127.31"/>
        <n v="3038.34"/>
        <n v="9688.99"/>
        <n v="4371.24"/>
        <n v="2614.28"/>
        <n v="3653.84"/>
        <n v="6943.92"/>
        <n v="3868.57"/>
        <n v="2442.66"/>
        <n v="1378.2"/>
        <n v="2143.69"/>
        <n v="852.2"/>
        <n v="587.67"/>
        <n v="1539.88"/>
        <n v="3883.03"/>
        <n v="1511.64"/>
        <n v="1083.0"/>
        <n v="2750.71"/>
        <n v="2340.12"/>
        <n v="2801.92"/>
        <n v="2313.36"/>
        <n v="3066.39"/>
        <n v="2216.96"/>
        <n v="2212.21"/>
        <n v="5983.95"/>
        <n v="1929.6"/>
        <n v="2011.71"/>
        <n v="1930.2"/>
        <n v="7495.7"/>
        <n v="4350.25"/>
        <n v="1056.14"/>
        <n v="2404.8"/>
        <n v="3075.1"/>
        <n v="1203.64"/>
        <n v="1079.41"/>
        <n v="7977.88"/>
        <n v="3515.72"/>
        <n v="1507.63"/>
        <n v="3514.32"/>
        <n v="4938.21"/>
        <n v="726.04"/>
        <n v="631.17"/>
        <n v="702.92"/>
        <n v="3315.02"/>
        <n v="6119.54"/>
        <n v="2331.39"/>
        <n v="4509.85"/>
        <n v="3823.21"/>
        <n v="3081.31"/>
        <n v="673.29"/>
        <n v="2285.43"/>
        <n v="589.19"/>
        <n v="3039.56"/>
        <n v="3170.11"/>
        <n v="2740.94"/>
        <n v="1305.06"/>
        <n v="8349.53"/>
        <n v="6593.01"/>
        <n v="2154.7"/>
        <n v="394.3"/>
        <n v="2424.32"/>
        <n v="874.43"/>
        <n v="2940.74"/>
        <n v="2899.52"/>
        <n v="2362.21"/>
        <n v="5642.42"/>
        <n v="7308.97"/>
        <n v="1135.12"/>
        <n v="3347.45"/>
        <n v="1386.23"/>
        <n v="585.76"/>
        <n v="248.6"/>
        <n v="428.04"/>
        <n v="4218.69"/>
        <n v="5926.36"/>
        <n v="2064.03"/>
        <n v="4186.56"/>
        <n v="1508.9"/>
        <n v="6824.67"/>
        <n v="2633.32"/>
        <n v="633.34"/>
        <n v="1261.1"/>
        <n v="2011.06"/>
        <n v="5587.7"/>
        <n v="5135.32"/>
        <n v="6890.19"/>
        <n v="7355.25"/>
        <n v="2152.17"/>
        <n v="4208.72"/>
        <n v="962.55"/>
        <n v="5217.07"/>
        <n v="2455.36"/>
        <n v="4631.8"/>
        <n v="2516.8"/>
        <n v="496.9"/>
        <n v="6138.98"/>
        <n v="2351.37"/>
        <n v="4127.4"/>
        <n v="2480.57"/>
        <n v="1241.04"/>
        <n v="993.58"/>
        <n v="603.88"/>
        <n v="5151.62"/>
        <n v="3757.82"/>
        <n v="1607.19"/>
        <n v="3343.37"/>
        <n v="1501.92"/>
        <n v="3058.24"/>
        <n v="1437.68"/>
        <n v="2666.96"/>
        <n v="3081.25"/>
        <n v="4218.24"/>
        <n v="4193.71"/>
        <n v="3929.95"/>
        <n v="1440.84"/>
        <n v="4660.27"/>
        <n v="769.1"/>
        <n v="554.52"/>
        <n v="1628.49"/>
        <n v="11140.0"/>
        <n v="1638.39"/>
        <n v="9002.9"/>
        <n v="6527.15"/>
        <n v="1571.19"/>
        <n v="1321.69"/>
        <n v="2980.44"/>
        <n v="3427.5"/>
        <n v="2737.16"/>
        <n v="2186.65"/>
        <n v="1579.91"/>
        <n v="6865.8"/>
        <n v="3657.18"/>
        <n v="1628.73"/>
        <n v="5918.06"/>
        <n v="1199.46"/>
        <n v="4147.4"/>
        <n v="1730.74"/>
        <n v="1560.53"/>
        <n v="604.16"/>
        <n v="399.26"/>
        <n v="605.72"/>
        <n v="2597.96"/>
        <n v="1806.49"/>
        <n v="2939.64"/>
        <n v="5538.78"/>
        <n v="6672.67"/>
        <n v="2625.34"/>
        <n v="11381.39"/>
        <n v="2306.25"/>
        <n v="4456.33"/>
        <n v="4513.3"/>
        <n v="6472.86"/>
        <n v="4668.68"/>
        <n v="1512.65"/>
        <n v="1864.73"/>
        <n v="570.53"/>
        <n v="6037.11"/>
        <n v="2178.33"/>
        <n v="6134.31"/>
        <n v="10849.4"/>
        <n v="1679.71"/>
        <n v="5568.58"/>
        <n v="5171.08"/>
        <n v="5797.67"/>
        <n v="832.87"/>
        <n v="1810.3"/>
        <n v="3138.07"/>
        <n v="4202.44"/>
        <n v="2933.97"/>
        <n v="1455.92"/>
        <n v="4613.7"/>
        <n v="6374.15"/>
        <n v="1546.4"/>
        <n v="3860.58"/>
        <n v="5801.42"/>
      </sharedItems>
    </cacheField>
    <cacheField name="date2" databaseField="0">
      <fieldGroup base="0">
        <rangePr autoStart="0" autoEnd="0" groupBy="months" startDate="2023-01-01T00:00:00Z" endDate="2024-01-01T00:00:00Z"/>
        <groupItems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4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66" sheet="Facebook Ads Data"/>
  </cacheSource>
  <cacheFields>
    <cacheField name="Date" numFmtId="1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1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4-29T00:00:00Z"/>
        <d v="2023-04-30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29T00:00:00Z"/>
        <d v="2023-05-30T00:00:00Z"/>
        <d v="2023-05-31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6-29T00:00:00Z"/>
        <d v="2023-06-30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7-29T00:00:00Z"/>
        <d v="2023-07-30T00:00:00Z"/>
        <d v="2023-07-31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8-31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  <d v="2023-12-29T00:00:00Z"/>
        <d v="2023-12-30T00:00:00Z"/>
        <d v="2023-12-31T00:00:00Z"/>
      </sharedItems>
    </cacheField>
    <cacheField name="Impressions" numFmtId="3">
      <sharedItems containsSemiMixedTypes="0" containsString="0" containsNumber="1" containsInteger="1">
        <n v="36947.0"/>
        <n v="103648.0"/>
        <n v="26894.0"/>
        <n v="52025.0"/>
        <n v="48395.0"/>
        <n v="71027.0"/>
        <n v="55996.0"/>
        <n v="51353.0"/>
        <n v="95648.0"/>
        <n v="81702.0"/>
        <n v="88605.0"/>
        <n v="82279.0"/>
        <n v="105203.0"/>
        <n v="81233.0"/>
        <n v="80379.0"/>
        <n v="32432.0"/>
        <n v="110276.0"/>
        <n v="72421.0"/>
        <n v="76446.0"/>
        <n v="84014.0"/>
        <n v="81355.0"/>
        <n v="51943.0"/>
        <n v="23626.0"/>
        <n v="78232.0"/>
        <n v="58352.0"/>
        <n v="39225.0"/>
        <n v="36682.0"/>
        <n v="83677.0"/>
        <n v="38924.0"/>
        <n v="63140.0"/>
        <n v="90690.0"/>
        <n v="108628.0"/>
        <n v="43604.0"/>
        <n v="35750.0"/>
        <n v="25446.0"/>
        <n v="86071.0"/>
        <n v="101081.0"/>
        <n v="97308.0"/>
        <n v="92074.0"/>
        <n v="68442.0"/>
        <n v="51708.0"/>
        <n v="89130.0"/>
        <n v="96610.0"/>
        <n v="36652.0"/>
        <n v="102773.0"/>
        <n v="80738.0"/>
        <n v="24310.0"/>
        <n v="22925.0"/>
        <n v="62609.0"/>
        <n v="38734.0"/>
        <n v="91772.0"/>
        <n v="99289.0"/>
        <n v="78754.0"/>
        <n v="97494.0"/>
        <n v="29724.0"/>
        <n v="69272.0"/>
        <n v="91718.0"/>
        <n v="55521.0"/>
        <n v="25407.0"/>
        <n v="79403.0"/>
        <n v="56768.0"/>
        <n v="32699.0"/>
        <n v="43985.0"/>
        <n v="65616.0"/>
        <n v="71269.0"/>
        <n v="36195.0"/>
        <n v="91235.0"/>
        <n v="83414.0"/>
        <n v="92668.0"/>
        <n v="42853.0"/>
        <n v="103050.0"/>
        <n v="35913.0"/>
        <n v="70154.0"/>
        <n v="35315.0"/>
        <n v="36847.0"/>
        <n v="62417.0"/>
        <n v="49279.0"/>
        <n v="39783.0"/>
        <n v="97987.0"/>
        <n v="44135.0"/>
        <n v="45519.0"/>
        <n v="111562.0"/>
        <n v="20639.0"/>
        <n v="82999.0"/>
        <n v="35803.0"/>
        <n v="91991.0"/>
        <n v="25281.0"/>
        <n v="86198.0"/>
        <n v="68419.0"/>
        <n v="63280.0"/>
        <n v="82108.0"/>
        <n v="101144.0"/>
        <n v="37552.0"/>
        <n v="83984.0"/>
        <n v="31124.0"/>
        <n v="107055.0"/>
        <n v="92834.0"/>
        <n v="93548.0"/>
        <n v="67530.0"/>
        <n v="60105.0"/>
        <n v="84824.0"/>
        <n v="105323.0"/>
        <n v="31259.0"/>
        <n v="91359.0"/>
        <n v="104336.0"/>
        <n v="33853.0"/>
        <n v="98110.0"/>
        <n v="106221.0"/>
        <n v="32684.0"/>
        <n v="54010.0"/>
        <n v="96927.0"/>
        <n v="95134.0"/>
        <n v="93721.0"/>
        <n v="106633.0"/>
        <n v="56603.0"/>
        <n v="87544.0"/>
        <n v="36500.0"/>
        <n v="73941.0"/>
        <n v="50445.0"/>
        <n v="78862.0"/>
        <n v="23864.0"/>
        <n v="105776.0"/>
        <n v="71503.0"/>
        <n v="63243.0"/>
        <n v="98985.0"/>
        <n v="61037.0"/>
        <n v="80994.0"/>
        <n v="33418.0"/>
        <n v="89151.0"/>
        <n v="79326.0"/>
        <n v="22790.0"/>
        <n v="40678.0"/>
        <n v="55547.0"/>
        <n v="109779.0"/>
        <n v="28118.0"/>
        <n v="57726.0"/>
        <n v="103503.0"/>
        <n v="76342.0"/>
        <n v="92082.0"/>
        <n v="99787.0"/>
        <n v="70771.0"/>
        <n v="85530.0"/>
        <n v="98375.0"/>
        <n v="77897.0"/>
        <n v="86246.0"/>
        <n v="43009.0"/>
        <n v="87760.0"/>
        <n v="69878.0"/>
        <n v="53057.0"/>
        <n v="34731.0"/>
        <n v="63163.0"/>
        <n v="106967.0"/>
        <n v="37432.0"/>
        <n v="67429.0"/>
        <n v="77747.0"/>
        <n v="87672.0"/>
        <n v="83799.0"/>
        <n v="103028.0"/>
        <n v="54088.0"/>
        <n v="97802.0"/>
        <n v="99976.0"/>
        <n v="30604.0"/>
        <n v="54819.0"/>
        <n v="73303.0"/>
        <n v="89047.0"/>
        <n v="105448.0"/>
        <n v="38092.0"/>
        <n v="43428.0"/>
        <n v="56914.0"/>
        <n v="67326.0"/>
        <n v="84804.0"/>
        <n v="87104.0"/>
        <n v="78241.0"/>
        <n v="81149.0"/>
        <n v="39487.0"/>
        <n v="84962.0"/>
        <n v="40737.0"/>
        <n v="36437.0"/>
        <n v="39098.0"/>
        <n v="51620.0"/>
        <n v="94118.0"/>
        <n v="35842.0"/>
        <n v="73596.0"/>
        <n v="87151.0"/>
        <n v="98061.0"/>
        <n v="35041.0"/>
        <n v="53325.0"/>
        <n v="83511.0"/>
        <n v="62704.0"/>
        <n v="70958.0"/>
        <n v="118300.0"/>
        <n v="133558.0"/>
        <n v="59808.0"/>
        <n v="83322.0"/>
        <n v="91293.0"/>
        <n v="122697.0"/>
        <n v="71342.0"/>
        <n v="104737.0"/>
        <n v="50317.0"/>
        <n v="53365.0"/>
        <n v="42948.0"/>
        <n v="42985.0"/>
        <n v="35500.0"/>
        <n v="123451.0"/>
        <n v="61897.0"/>
        <n v="36460.0"/>
        <n v="80087.0"/>
        <n v="124150.0"/>
        <n v="63716.0"/>
        <n v="73940.0"/>
        <n v="58487.0"/>
        <n v="78391.0"/>
        <n v="79773.0"/>
        <n v="106876.0"/>
        <n v="63485.0"/>
        <n v="62960.0"/>
        <n v="75098.0"/>
        <n v="95016.0"/>
        <n v="136482.0"/>
        <n v="53845.0"/>
        <n v="82863.0"/>
        <n v="118061.0"/>
        <n v="36428.0"/>
        <n v="81998.0"/>
        <n v="131486.0"/>
        <n v="108326.0"/>
        <n v="51650.0"/>
        <n v="127407.0"/>
        <n v="104095.0"/>
        <n v="29685.0"/>
        <n v="31518.0"/>
        <n v="28027.0"/>
        <n v="80583.0"/>
        <n v="123870.0"/>
        <n v="44380.0"/>
        <n v="126717.0"/>
        <n v="109668.0"/>
        <n v="86333.0"/>
        <n v="46853.0"/>
        <n v="76408.0"/>
        <n v="32278.0"/>
        <n v="100695.0"/>
        <n v="100011.0"/>
        <n v="65075.0"/>
        <n v="32637.0"/>
        <n v="104263.0"/>
        <n v="108045.0"/>
        <n v="44106.0"/>
        <n v="26754.0"/>
        <n v="58728.0"/>
        <n v="25992.0"/>
        <n v="74003.0"/>
        <n v="73809.0"/>
        <n v="64573.0"/>
        <n v="90377.0"/>
        <n v="65111.0"/>
        <n v="65312.0"/>
        <n v="44826.0"/>
        <n v="23292.0"/>
        <n v="25897.0"/>
        <n v="22295.0"/>
        <n v="103519.0"/>
        <n v="91693.0"/>
        <n v="33949.0"/>
        <n v="66955.0"/>
        <n v="77793.0"/>
        <n v="83943.0"/>
        <n v="52154.0"/>
        <n v="25507.0"/>
        <n v="37642.0"/>
        <n v="51558.0"/>
        <n v="72639.0"/>
        <n v="89631.0"/>
        <n v="98198.0"/>
        <n v="59679.0"/>
        <n v="65353.0"/>
        <n v="28900.0"/>
        <n v="95404.0"/>
        <n v="77427.0"/>
        <n v="97491.0"/>
        <n v="75791.0"/>
        <n v="30377.0"/>
        <n v="98818.0"/>
        <n v="44476.0"/>
        <n v="67484.0"/>
        <n v="65271.0"/>
        <n v="53582.0"/>
        <n v="34245.0"/>
        <n v="26526.0"/>
        <n v="93961.0"/>
        <n v="96368.0"/>
        <n v="70108.0"/>
        <n v="69818.0"/>
        <n v="29258.0"/>
        <n v="92330.0"/>
        <n v="30112.0"/>
        <n v="61405.0"/>
        <n v="66734.0"/>
        <n v="109285.0"/>
        <n v="76396.0"/>
        <n v="58812.0"/>
        <n v="27058.0"/>
        <n v="108743.0"/>
        <n v="24395.0"/>
        <n v="23486.0"/>
        <n v="30779.0"/>
        <n v="98536.0"/>
        <n v="47482.0"/>
        <n v="105647.0"/>
        <n v="79857.0"/>
        <n v="31741.0"/>
        <n v="46717.0"/>
        <n v="64915.0"/>
        <n v="105117.0"/>
        <n v="87799.0"/>
        <n v="79908.0"/>
        <n v="66547.0"/>
        <n v="81903.0"/>
        <n v="84393.0"/>
        <n v="70975.0"/>
        <n v="86890.0"/>
        <n v="37785.0"/>
        <n v="108659.0"/>
        <n v="73888.0"/>
        <n v="60934.0"/>
        <n v="28063.0"/>
        <n v="27679.0"/>
        <n v="25054.0"/>
        <n v="89352.0"/>
        <n v="37167.0"/>
        <n v="48983.0"/>
        <n v="82509.0"/>
        <n v="77473.0"/>
        <n v="52146.0"/>
        <n v="87583.0"/>
        <n v="65217.0"/>
        <n v="50864.0"/>
        <n v="62158.0"/>
        <n v="88743.0"/>
        <n v="61180.0"/>
        <n v="40935.0"/>
        <n v="56327.0"/>
        <n v="33908.0"/>
        <n v="90320.0"/>
        <n v="26740.0"/>
        <n v="89616.0"/>
        <n v="76228.0"/>
        <n v="42980.0"/>
        <n v="81146.0"/>
        <n v="71337.0"/>
        <n v="87018.0"/>
        <n v="26574.0"/>
        <n v="58976.0"/>
        <n v="60936.0"/>
        <n v="67930.0"/>
        <n v="90416.0"/>
        <n v="32557.0"/>
        <n v="78978.0"/>
        <n v="82624.0"/>
        <n v="53526.0"/>
        <n v="44296.0"/>
        <n v="74487.0"/>
      </sharedItems>
    </cacheField>
    <cacheField name="Clicks" numFmtId="0">
      <sharedItems containsSemiMixedTypes="0" containsString="0" containsNumber="1" containsInteger="1">
        <n v="652.0"/>
        <n v="1973.0"/>
        <n v="345.0"/>
        <n v="877.0"/>
        <n v="692.0"/>
        <n v="1356.0"/>
        <n v="1557.0"/>
        <n v="493.0"/>
        <n v="2155.0"/>
        <n v="1640.0"/>
        <n v="978.0"/>
        <n v="1581.0"/>
        <n v="2272.0"/>
        <n v="1595.0"/>
        <n v="2348.0"/>
        <n v="728.0"/>
        <n v="2793.0"/>
        <n v="2023.0"/>
        <n v="966.0"/>
        <n v="1285.0"/>
        <n v="1891.0"/>
        <n v="635.0"/>
        <n v="198.0"/>
        <n v="1423.0"/>
        <n v="1543.0"/>
        <n v="402.0"/>
        <n v="492.0"/>
        <n v="917.0"/>
        <n v="1867.0"/>
        <n v="1995.0"/>
        <n v="3318.0"/>
        <n v="520.0"/>
        <n v="786.0"/>
        <n v="511.0"/>
        <n v="2580.0"/>
        <n v="1253.0"/>
        <n v="2761.0"/>
        <n v="1113.0"/>
        <n v="1933.0"/>
        <n v="1401.0"/>
        <n v="2243.0"/>
        <n v="2201.0"/>
        <n v="636.0"/>
        <n v="2253.0"/>
        <n v="2438.0"/>
        <n v="230.0"/>
        <n v="876.0"/>
        <n v="753.0"/>
        <n v="1528.0"/>
        <n v="1218.0"/>
        <n v="1145.0"/>
        <n v="1182.0"/>
        <n v="602.0"/>
        <n v="1126.0"/>
        <n v="2693.0"/>
        <n v="1612.0"/>
        <n v="211.0"/>
        <n v="1642.0"/>
        <n v="1623.0"/>
        <n v="710.0"/>
        <n v="640.0"/>
        <n v="1632.0"/>
        <n v="1663.0"/>
        <n v="740.0"/>
        <n v="2481.0"/>
        <n v="2616.0"/>
        <n v="2436.0"/>
        <n v="1021.0"/>
        <n v="1922.0"/>
        <n v="633.0"/>
        <n v="777.0"/>
        <n v="386.0"/>
        <n v="1836.0"/>
        <n v="833.0"/>
        <n v="722.0"/>
        <n v="1150.0"/>
        <n v="946.0"/>
        <n v="2140.0"/>
        <n v="155.0"/>
        <n v="2301.0"/>
        <n v="736.0"/>
        <n v="1357.0"/>
        <n v="390.0"/>
        <n v="2766.0"/>
        <n v="947.0"/>
        <n v="870.0"/>
        <n v="1497.0"/>
        <n v="2173.0"/>
        <n v="406.0"/>
        <n v="2715.0"/>
        <n v="560.0"/>
        <n v="2231.0"/>
        <n v="2642.0"/>
        <n v="2410.0"/>
        <n v="746.0"/>
        <n v="1086.0"/>
        <n v="2443.0"/>
        <n v="2081.0"/>
        <n v="541.0"/>
        <n v="1258.0"/>
        <n v="2473.0"/>
        <n v="448.0"/>
        <n v="1317.0"/>
        <n v="2271.0"/>
        <n v="497.0"/>
        <n v="893.0"/>
        <n v="2951.0"/>
        <n v="2463.0"/>
        <n v="2577.0"/>
        <n v="1273.0"/>
        <n v="1301.0"/>
        <n v="1203.0"/>
        <n v="687.0"/>
        <n v="873.0"/>
        <n v="1052.0"/>
        <n v="1696.0"/>
        <n v="273.0"/>
        <n v="1625.0"/>
        <n v="1718.0"/>
        <n v="1682.0"/>
        <n v="2196.0"/>
        <n v="1138.0"/>
        <n v="2260.0"/>
        <n v="570.0"/>
        <n v="2456.0"/>
        <n v="2420.0"/>
        <n v="290.0"/>
        <n v="953.0"/>
        <n v="960.0"/>
        <n v="1902.0"/>
        <n v="436.0"/>
        <n v="1483.0"/>
        <n v="1211.0"/>
        <n v="1777.0"/>
        <n v="2283.0"/>
        <n v="1023.0"/>
        <n v="1411.0"/>
        <n v="781.0"/>
        <n v="1390.0"/>
        <n v="1251.0"/>
        <n v="2357.0"/>
        <n v="863.0"/>
        <n v="2625.0"/>
        <n v="1583.0"/>
        <n v="1440.0"/>
        <n v="387.0"/>
        <n v="1478.0"/>
        <n v="2141.0"/>
        <n v="1523.0"/>
        <n v="2485.0"/>
        <n v="1705.0"/>
        <n v="1971.0"/>
        <n v="2608.0"/>
        <n v="2880.0"/>
        <n v="1506.0"/>
        <n v="528.0"/>
        <n v="1568.0"/>
        <n v="2598.0"/>
        <n v="3411.0"/>
        <n v="631.0"/>
        <n v="431.0"/>
        <n v="1445.0"/>
        <n v="1673.0"/>
        <n v="2556.0"/>
        <n v="2827.0"/>
        <n v="1186.0"/>
        <n v="1002.0"/>
        <n v="562.0"/>
        <n v="1603.0"/>
        <n v="975.0"/>
        <n v="606.0"/>
        <n v="508.0"/>
        <n v="1133.0"/>
        <n v="2970.0"/>
        <n v="1565.0"/>
        <n v="1630.0"/>
        <n v="2963.0"/>
        <n v="670.0"/>
        <n v="1778.0"/>
        <n v="1101.0"/>
        <n v="1702.0"/>
        <n v="4320.0"/>
        <n v="1707.0"/>
        <n v="1095.0"/>
        <n v="1763.0"/>
        <n v="3258.0"/>
        <n v="1993.0"/>
        <n v="2532.0"/>
        <n v="721.0"/>
        <n v="1427.0"/>
        <n v="413.0"/>
        <n v="563.0"/>
        <n v="588.0"/>
        <n v="3020.0"/>
        <n v="688.0"/>
        <n v="558.0"/>
        <n v="2435.0"/>
        <n v="1790.0"/>
        <n v="1513.0"/>
        <n v="1321.0"/>
        <n v="1347.0"/>
        <n v="1233.0"/>
        <n v="1333.0"/>
        <n v="3095.0"/>
        <n v="1252.0"/>
        <n v="1318.0"/>
        <n v="962.0"/>
        <n v="3000.0"/>
        <n v="2572.0"/>
        <n v="513.0"/>
        <n v="1826.0"/>
        <n v="1957.0"/>
        <n v="450.0"/>
        <n v="3262.0"/>
        <n v="3327.0"/>
        <n v="1185.0"/>
        <n v="1895.0"/>
        <n v="2185.0"/>
        <n v="408.0"/>
        <n v="301.0"/>
        <n v="2191.0"/>
        <n v="3603.0"/>
        <n v="1097.0"/>
        <n v="1963.0"/>
        <n v="608.0"/>
        <n v="970.0"/>
        <n v="451.0"/>
        <n v="2070.0"/>
        <n v="1627.0"/>
        <n v="1788.0"/>
        <n v="732.0"/>
        <n v="3142.0"/>
        <n v="2276.0"/>
        <n v="1025.0"/>
        <n v="256.0"/>
        <n v="823.0"/>
        <n v="512.0"/>
        <n v="1516.0"/>
        <n v="785.0"/>
        <n v="973.0"/>
        <n v="1912.0"/>
        <n v="2078.0"/>
        <n v="1755.0"/>
        <n v="718.0"/>
        <n v="217.0"/>
        <n v="187.0"/>
        <n v="188.0"/>
        <n v="1753.0"/>
        <n v="1990.0"/>
        <n v="836.0"/>
        <n v="2018.0"/>
        <n v="1090.0"/>
        <n v="825.0"/>
        <n v="950.0"/>
        <n v="1336.0"/>
        <n v="2012.0"/>
        <n v="2818.0"/>
        <n v="2013.0"/>
        <n v="967.0"/>
        <n v="1616.0"/>
        <n v="2380.0"/>
        <n v="1452.0"/>
        <n v="1860.0"/>
        <n v="1342.0"/>
        <n v="342.0"/>
        <n v="3135.0"/>
        <n v="1091.0"/>
        <n v="1417.0"/>
        <n v="1076.0"/>
        <n v="902.0"/>
        <n v="393.0"/>
        <n v="293.0"/>
        <n v="2282.0"/>
        <n v="2486.0"/>
        <n v="1152.0"/>
        <n v="662.0"/>
        <n v="581.0"/>
        <n v="1120.0"/>
        <n v="1235.0"/>
        <n v="2335.0"/>
        <n v="1498.0"/>
        <n v="567.0"/>
        <n v="2346.0"/>
        <n v="276.0"/>
        <n v="287.0"/>
        <n v="616.0"/>
        <n v="867.0"/>
        <n v="2713.0"/>
        <n v="2043.0"/>
        <n v="626.0"/>
        <n v="522.0"/>
        <n v="910.0"/>
        <n v="2991.0"/>
        <n v="1465.0"/>
        <n v="707.0"/>
        <n v="2533.0"/>
        <n v="1305.0"/>
        <n v="895.0"/>
        <n v="1847.0"/>
        <n v="327.0"/>
        <n v="2918.0"/>
        <n v="943.0"/>
        <n v="945.0"/>
        <n v="285.0"/>
        <n v="306.0"/>
        <n v="2298.0"/>
        <n v="848.0"/>
        <n v="1266.0"/>
        <n v="2293.0"/>
        <n v="1759.0"/>
        <n v="627.0"/>
        <n v="2593.0"/>
        <n v="720.0"/>
        <n v="1582.0"/>
        <n v="1395.0"/>
        <n v="1561.0"/>
        <n v="1537.0"/>
        <n v="776.0"/>
        <n v="708.0"/>
        <n v="321.0"/>
        <n v="2085.0"/>
        <n v="694.0"/>
        <n v="2817.0"/>
        <n v="2332.0"/>
        <n v="630.0"/>
        <n v="1545.0"/>
        <n v="2295.0"/>
        <n v="2548.0"/>
        <n v="991.0"/>
        <n v="709.0"/>
        <n v="1620.0"/>
        <n v="1234.0"/>
        <n v="537.0"/>
        <n v="2015.0"/>
        <n v="2146.0"/>
        <n v="999.0"/>
        <n v="1092.0"/>
        <n v="2047.0"/>
      </sharedItems>
    </cacheField>
    <cacheField name="Spend" numFmtId="165">
      <sharedItems containsSemiMixedTypes="0" containsString="0" containsNumber="1">
        <n v="520.8"/>
        <n v="1777.8"/>
        <n v="253.23"/>
        <n v="1024.92"/>
        <n v="646.93"/>
        <n v="1609.69"/>
        <n v="1020.16"/>
        <n v="534.71"/>
        <n v="1899.43"/>
        <n v="1881.17"/>
        <n v="1148.05"/>
        <n v="1753.03"/>
        <n v="1767.95"/>
        <n v="1902.92"/>
        <n v="2086.0"/>
        <n v="945.28"/>
        <n v="3150.04"/>
        <n v="1574.43"/>
        <n v="1034.2"/>
        <n v="1033.11"/>
        <n v="1973.74"/>
        <n v="577.03"/>
        <n v="130.64"/>
        <n v="1403.2"/>
        <n v="1942.15"/>
        <n v="478.39"/>
        <n v="614.04"/>
        <n v="1005.87"/>
        <n v="714.05"/>
        <n v="1888.8"/>
        <n v="2016.83"/>
        <n v="2451.91"/>
        <n v="614.4"/>
        <n v="601.25"/>
        <n v="364.66"/>
        <n v="2977.28"/>
        <n v="1130.24"/>
        <n v="2864.08"/>
        <n v="779.84"/>
        <n v="2443.95"/>
        <n v="1007.97"/>
        <n v="1687.07"/>
        <n v="1426.82"/>
        <n v="619.37"/>
        <n v="1986.69"/>
        <n v="2766.15"/>
        <n v="284.07"/>
        <n v="287.45"/>
        <n v="1131.54"/>
        <n v="958.86"/>
        <n v="1723.73"/>
        <n v="1280.56"/>
        <n v="1269.65"/>
        <n v="1219.37"/>
        <n v="508.43"/>
        <n v="832.28"/>
        <n v="2391.73"/>
        <n v="1819.44"/>
        <n v="223.71"/>
        <n v="1384.25"/>
        <n v="1673.6"/>
        <n v="561.87"/>
        <n v="660.66"/>
        <n v="1862.02"/>
        <n v="1315.4"/>
        <n v="494.5"/>
        <n v="1704.55"/>
        <n v="2271.81"/>
        <n v="2416.34"/>
        <n v="781.43"/>
        <n v="1694.68"/>
        <n v="563.23"/>
        <n v="948.44"/>
        <n v="258.25"/>
        <n v="697.16"/>
        <n v="2083.09"/>
        <n v="843.38"/>
        <n v="678.88"/>
        <n v="1312.46"/>
        <n v="1159.33"/>
        <n v="975.47"/>
        <n v="1720.05"/>
        <n v="162.28"/>
        <n v="2729.41"/>
        <n v="496.21"/>
        <n v="1099.92"/>
        <n v="344.42"/>
        <n v="3227.78"/>
        <n v="779.81"/>
        <n v="738.85"/>
        <n v="1407.16"/>
        <n v="2677.62"/>
        <n v="400.94"/>
        <n v="2446.32"/>
        <n v="618.1"/>
        <n v="2270.2"/>
        <n v="2962.67"/>
        <n v="3061.54"/>
        <n v="686.68"/>
        <n v="915.44"/>
        <n v="2106.58"/>
        <n v="1659.67"/>
        <n v="593.39"/>
        <n v="1167.15"/>
        <n v="3174.61"/>
        <n v="320.57"/>
        <n v="1477.33"/>
        <n v="2090.29"/>
        <n v="600.0"/>
        <n v="1025.58"/>
        <n v="2773.18"/>
        <n v="3002.82"/>
        <n v="1670.74"/>
        <n v="1593.0"/>
        <n v="1687.21"/>
        <n v="1404.78"/>
        <n v="821.19"/>
        <n v="673.79"/>
        <n v="893.77"/>
        <n v="1891.68"/>
        <n v="264.56"/>
        <n v="1411.93"/>
        <n v="1793.38"/>
        <n v="1679.67"/>
        <n v="2476.33"/>
        <n v="782.95"/>
        <n v="2885.15"/>
        <n v="465.43"/>
        <n v="1941.91"/>
        <n v="3059.05"/>
        <n v="374.13"/>
        <n v="1045.39"/>
        <n v="865.14"/>
        <n v="2405.08"/>
        <n v="291.83"/>
        <n v="1201.95"/>
        <n v="1052.6"/>
        <n v="2004.65"/>
        <n v="1954.35"/>
        <n v="803.67"/>
        <n v="1317.97"/>
        <n v="983.66"/>
        <n v="1442.12"/>
        <n v="1191.96"/>
        <n v="2750.92"/>
        <n v="3077.7"/>
        <n v="728.04"/>
        <n v="2909.2"/>
        <n v="1026.43"/>
        <n v="1679.66"/>
        <n v="326.5"/>
        <n v="1054.13"/>
        <n v="2664.52"/>
        <n v="821.12"/>
        <n v="1669.35"/>
        <n v="1755.54"/>
        <n v="2088.33"/>
        <n v="1686.49"/>
        <n v="2164.17"/>
        <n v="721.01"/>
        <n v="1997.32"/>
        <n v="1171.56"/>
        <n v="353.31"/>
        <n v="1932.51"/>
        <n v="1170.46"/>
        <n v="2122.64"/>
        <n v="4156.2"/>
        <n v="528.06"/>
        <n v="548.42"/>
        <n v="1142.61"/>
        <n v="1812.07"/>
        <n v="2849.65"/>
        <n v="3244.39"/>
        <n v="1514.76"/>
        <n v="1240.8"/>
        <n v="525.75"/>
        <n v="1756.78"/>
        <n v="1055.44"/>
        <n v="703.83"/>
        <n v="393.08"/>
        <n v="1419.14"/>
        <n v="2790.83"/>
        <n v="586.31"/>
        <n v="1887.2"/>
        <n v="1056.47"/>
        <n v="2823.97"/>
        <n v="639.04"/>
        <n v="1366.45"/>
        <n v="2167.73"/>
        <n v="1220.8"/>
        <n v="1601.47"/>
        <n v="1263.53"/>
        <n v="3005.99"/>
        <n v="1539.05"/>
        <n v="1075.7"/>
        <n v="1952.27"/>
        <n v="3086.45"/>
        <n v="1592.56"/>
        <n v="2643.76"/>
        <n v="461.64"/>
        <n v="1197.23"/>
        <n v="295.72"/>
        <n v="602.89"/>
        <n v="608.85"/>
        <n v="1825.83"/>
        <n v="441.07"/>
        <n v="437.37"/>
        <n v="2445.32"/>
        <n v="1788.11"/>
        <n v="1140.63"/>
        <n v="837.51"/>
        <n v="1423.71"/>
        <n v="992.72"/>
        <n v="837.88"/>
        <n v="2754.85"/>
        <n v="1093.76"/>
        <n v="1204.59"/>
        <n v="631.53"/>
        <n v="3353.01"/>
        <n v="1731.69"/>
        <n v="410.47"/>
        <n v="2010.68"/>
        <n v="1731.65"/>
        <n v="478.49"/>
        <n v="947.76"/>
        <n v="2307.4"/>
        <n v="3132.5"/>
        <n v="744.77"/>
        <n v="1978.11"/>
        <n v="1895.66"/>
        <n v="364.45"/>
        <n v="419.64"/>
        <n v="196.14"/>
        <n v="2112.9"/>
        <n v="2343.66"/>
        <n v="814.8"/>
        <n v="2473.35"/>
        <n v="1972.17"/>
        <n v="2224.64"/>
        <n v="594.68"/>
        <n v="813.59"/>
        <n v="515.73"/>
        <n v="1263.49"/>
        <n v="1962.56"/>
        <n v="1159.22"/>
        <n v="550.61"/>
        <n v="2423.4"/>
        <n v="2448.88"/>
        <n v="1276.66"/>
        <n v="328.03"/>
        <n v="891.52"/>
        <n v="352.81"/>
        <n v="1759.27"/>
        <n v="880.02"/>
        <n v="889.86"/>
        <n v="1338.78"/>
        <n v="1644.14"/>
        <n v="751.04"/>
        <n v="1991.36"/>
        <n v="819.73"/>
        <n v="239.75"/>
        <n v="216.11"/>
        <n v="236.33"/>
        <n v="1511.91"/>
        <n v="2566.27"/>
        <n v="867.6"/>
        <n v="1583.04"/>
        <n v="1293.68"/>
        <n v="1936.89"/>
        <n v="700.8"/>
        <n v="218.38"/>
        <n v="855.96"/>
        <n v="1299.01"/>
        <n v="2074.24"/>
        <n v="2777.57"/>
        <n v="1521.69"/>
        <n v="1880.16"/>
        <n v="965.79"/>
        <n v="1989.93"/>
        <n v="371.59"/>
        <n v="2854.04"/>
        <n v="1186.25"/>
        <n v="1434.87"/>
        <n v="1166.06"/>
        <n v="228.72"/>
        <n v="2194.05"/>
        <n v="1082.16"/>
        <n v="1442.77"/>
        <n v="767.99"/>
        <n v="1059.56"/>
        <n v="358.2"/>
        <n v="277.11"/>
        <n v="1642.49"/>
        <n v="2320.71"/>
        <n v="1015.93"/>
        <n v="704.21"/>
        <n v="498.73"/>
        <n v="1454.9"/>
        <n v="377.41"/>
        <n v="740.5"/>
        <n v="952.72"/>
        <n v="2512.33"/>
        <n v="1214.29"/>
        <n v="1501.05"/>
        <n v="589.36"/>
        <n v="1840.55"/>
        <n v="300.24"/>
        <n v="369.44"/>
        <n v="559.53"/>
        <n v="2198.97"/>
        <n v="973.65"/>
        <n v="2023.1"/>
        <n v="1986.94"/>
        <n v="434.36"/>
        <n v="339.1"/>
        <n v="1126.45"/>
        <n v="2190.92"/>
        <n v="1663.36"/>
        <n v="1082.99"/>
        <n v="587.64"/>
        <n v="2052.8"/>
        <n v="1285.39"/>
        <n v="1020.98"/>
        <n v="1473.52"/>
        <n v="341.99"/>
        <n v="2837.32"/>
        <n v="917.79"/>
        <n v="967.8"/>
        <n v="305.81"/>
        <n v="254.46"/>
        <n v="302.66"/>
        <n v="2830.83"/>
        <n v="913.98"/>
        <n v="1304.87"/>
        <n v="2380.3"/>
        <n v="2205.63"/>
        <n v="1000.12"/>
        <n v="3789.08"/>
        <n v="958.93"/>
        <n v="2174.8"/>
        <n v="1833.0"/>
        <n v="2688.52"/>
        <n v="2194.37"/>
        <n v="1262.86"/>
        <n v="1202.06"/>
        <n v="476.27"/>
        <n v="2667.44"/>
        <n v="1082.47"/>
        <n v="3994.51"/>
        <n v="2519.5"/>
        <n v="825.08"/>
        <n v="2203.98"/>
        <n v="3154.23"/>
        <n v="2885.51"/>
        <n v="309.11"/>
        <n v="1063.68"/>
        <n v="927.49"/>
        <n v="1834.31"/>
        <n v="1163.55"/>
        <n v="563.34"/>
        <n v="2038.42"/>
        <n v="3154.42"/>
        <n v="942.64"/>
        <n v="1418.17"/>
        <n v="1964.61"/>
      </sharedItems>
    </cacheField>
    <cacheField name="Conversions" numFmtId="0">
      <sharedItems containsSemiMixedTypes="0" containsString="0" containsNumber="1" containsInteger="1">
        <n v="11.0"/>
        <n v="46.0"/>
        <n v="7.0"/>
        <n v="16.0"/>
        <n v="20.0"/>
        <n v="32.0"/>
        <n v="40.0"/>
        <n v="21.0"/>
        <n v="33.0"/>
        <n v="31.0"/>
        <n v="13.0"/>
        <n v="66.0"/>
        <n v="27.0"/>
        <n v="22.0"/>
        <n v="12.0"/>
        <n v="3.0"/>
        <n v="30.0"/>
        <n v="35.0"/>
        <n v="8.0"/>
        <n v="37.0"/>
        <n v="68.0"/>
        <n v="10.0"/>
        <n v="18.0"/>
        <n v="41.0"/>
        <n v="25.0"/>
        <n v="48.0"/>
        <n v="15.0"/>
        <n v="5.0"/>
        <n v="17.0"/>
        <n v="28.0"/>
        <n v="43.0"/>
        <n v="2.0"/>
        <n v="36.0"/>
        <n v="58.0"/>
        <n v="6.0"/>
        <n v="45.0"/>
        <n v="1.0"/>
        <n v="38.0"/>
        <n v="26.0"/>
        <n v="52.0"/>
        <n v="63.0"/>
        <n v="53.0"/>
        <n v="56.0"/>
        <n v="70.0"/>
        <n v="50.0"/>
        <n v="42.0"/>
        <n v="23.0"/>
        <n v="51.0"/>
        <n v="57.0"/>
        <n v="55.0"/>
        <n v="47.0"/>
        <n v="14.0"/>
        <n v="39.0"/>
        <n v="101.0"/>
        <n v="34.0"/>
        <n v="79.0"/>
        <n v="29.0"/>
        <n v="71.0"/>
        <n v="60.0"/>
        <n v="61.0"/>
        <n v="73.0"/>
        <n v="65.0"/>
        <n v="62.0"/>
        <n v="77.0"/>
        <n v="67.0"/>
      </sharedItems>
    </cacheField>
    <cacheField name="Revenue" numFmtId="165">
      <sharedItems containsSemiMixedTypes="0" containsString="0" containsNumber="1">
        <n v="1731.29"/>
        <n v="6887.25"/>
        <n v="875.24"/>
        <n v="3410.08"/>
        <n v="3435.37"/>
        <n v="3668.99"/>
        <n v="6481.26"/>
        <n v="1792.0"/>
        <n v="7656.99"/>
        <n v="3874.83"/>
        <n v="3945.11"/>
        <n v="3888.03"/>
        <n v="4497.42"/>
        <n v="4424.08"/>
        <n v="3312.67"/>
        <n v="1830.03"/>
        <n v="10728.13"/>
        <n v="4168.12"/>
        <n v="3089.84"/>
        <n v="4047.78"/>
        <n v="5302.51"/>
        <n v="1506.25"/>
        <n v="647.79"/>
        <n v="5798.8"/>
        <n v="6289.39"/>
        <n v="1207.03"/>
        <n v="1625.84"/>
        <n v="3931.6"/>
        <n v="3382.85"/>
        <n v="4153.61"/>
        <n v="6115.46"/>
        <n v="9479.47"/>
        <n v="1937.21"/>
        <n v="2913.34"/>
        <n v="1239.1"/>
        <n v="8339.4"/>
        <n v="2965.66"/>
        <n v="7812.7"/>
        <n v="3811.93"/>
        <n v="3286.46"/>
        <n v="6901.72"/>
        <n v="6967.52"/>
        <n v="5922.01"/>
        <n v="2436.21"/>
        <n v="8721.55"/>
        <n v="5771.36"/>
        <n v="884.73"/>
        <n v="911.63"/>
        <n v="2248.13"/>
        <n v="1695.5"/>
        <n v="5544.89"/>
        <n v="1905.67"/>
        <n v="2779.17"/>
        <n v="5510.68"/>
        <n v="864.23"/>
        <n v="2393.01"/>
        <n v="7113.55"/>
        <n v="4027.71"/>
        <n v="476.35"/>
        <n v="5507.44"/>
        <n v="4619.65"/>
        <n v="3059.69"/>
        <n v="2558.48"/>
        <n v="4146.49"/>
        <n v="5032.92"/>
        <n v="1413.62"/>
        <n v="6083.36"/>
        <n v="8671.03"/>
        <n v="9251.86"/>
        <n v="2369.13"/>
        <n v="6193.55"/>
        <n v="1606.81"/>
        <n v="1244.41"/>
        <n v="1199.33"/>
        <n v="1288.88"/>
        <n v="8686.01"/>
        <n v="1334.89"/>
        <n v="3087.69"/>
        <n v="5089.52"/>
        <n v="1916.51"/>
        <n v="2752.57"/>
        <n v="5051.5"/>
        <n v="254.01"/>
        <n v="4762.38"/>
        <n v="1778.2"/>
        <n v="3343.88"/>
        <n v="1249.07"/>
        <n v="7028.39"/>
        <n v="1678.15"/>
        <n v="2053.94"/>
        <n v="3285.62"/>
        <n v="5694.08"/>
        <n v="1026.95"/>
        <n v="8110.42"/>
        <n v="904.27"/>
        <n v="6199.92"/>
        <n v="8151.16"/>
        <n v="7034.84"/>
        <n v="1653.13"/>
        <n v="2190.26"/>
        <n v="8867.41"/>
        <n v="2961.86"/>
        <n v="1133.83"/>
        <n v="4112.21"/>
        <n v="7606.96"/>
        <n v="1637.38"/>
        <n v="4448.45"/>
        <n v="7749.33"/>
        <n v="908.51"/>
        <n v="4091.39"/>
        <n v="12503.55"/>
        <n v="5769.31"/>
        <n v="7529.67"/>
        <n v="4856.83"/>
        <n v="5627.28"/>
        <n v="4364.53"/>
        <n v="1509.17"/>
        <n v="2848.56"/>
        <n v="2525.46"/>
        <n v="4144.68"/>
        <n v="739.83"/>
        <n v="3362.68"/>
        <n v="4422.61"/>
        <n v="5796.86"/>
        <n v="9078.04"/>
        <n v="3436.02"/>
        <n v="3746.34"/>
        <n v="1224.93"/>
        <n v="8511.34"/>
        <n v="7266.33"/>
        <n v="559.72"/>
        <n v="2948.55"/>
        <n v="2168.36"/>
        <n v="2659.76"/>
        <n v="1150.81"/>
        <n v="5861.39"/>
        <n v="2443.85"/>
        <n v="7215.04"/>
        <n v="8322.28"/>
        <n v="1481.72"/>
        <n v="5758.2"/>
        <n v="2675.11"/>
        <n v="4138.58"/>
        <n v="3219.02"/>
        <n v="4489.36"/>
        <n v="7945.47"/>
        <n v="2146.81"/>
        <n v="10454.51"/>
        <n v="4791.63"/>
        <n v="4818.95"/>
        <n v="820.62"/>
        <n v="3376.66"/>
        <n v="5322.36"/>
        <n v="3125.51"/>
        <n v="4158.43"/>
        <n v="6348.91"/>
        <n v="3813.75"/>
        <n v="8700.65"/>
        <n v="8388.07"/>
        <n v="1407.11"/>
        <n v="5095.58"/>
        <n v="3460.45"/>
        <n v="1838.8"/>
        <n v="6023.59"/>
        <n v="4605.04"/>
        <n v="11430.06"/>
        <n v="8672.41"/>
        <n v="1499.43"/>
        <n v="1099.01"/>
        <n v="3668.22"/>
        <n v="7021.82"/>
        <n v="8310.74"/>
        <n v="7545.81"/>
        <n v="4697.89"/>
        <n v="2760.64"/>
        <n v="1894.91"/>
        <n v="5322.1"/>
        <n v="2896.08"/>
        <n v="1869.34"/>
        <n v="1712.76"/>
        <n v="3093.06"/>
        <n v="10777.2"/>
        <n v="3157.45"/>
        <n v="2994.72"/>
        <n v="4236.67"/>
        <n v="5472.67"/>
        <n v="1091.64"/>
        <n v="5457.74"/>
        <n v="4187.28"/>
        <n v="2314.95"/>
        <n v="3323.93"/>
        <n v="4747.41"/>
        <n v="15139.05"/>
        <n v="6830.07"/>
        <n v="4084.81"/>
        <n v="5709.13"/>
        <n v="10849.88"/>
        <n v="6044.64"/>
        <n v="3816.65"/>
        <n v="2153.44"/>
        <n v="3349.52"/>
        <n v="1331.56"/>
        <n v="918.23"/>
        <n v="2406.07"/>
        <n v="6067.23"/>
        <n v="2361.93"/>
        <n v="1692.18"/>
        <n v="4297.98"/>
        <n v="3656.44"/>
        <n v="4378.01"/>
        <n v="3614.62"/>
        <n v="4791.23"/>
        <n v="3464.0"/>
        <n v="3456.58"/>
        <n v="9349.92"/>
        <n v="3015.0"/>
        <n v="3143.29"/>
        <n v="3015.93"/>
        <n v="11712.02"/>
        <n v="6797.26"/>
        <n v="1650.23"/>
        <n v="3757.5"/>
        <n v="4804.85"/>
        <n v="1880.69"/>
        <n v="1686.58"/>
        <n v="12465.44"/>
        <n v="5493.31"/>
        <n v="2355.67"/>
        <n v="5491.12"/>
        <n v="7715.95"/>
        <n v="1134.44"/>
        <n v="986.21"/>
        <n v="1098.31"/>
        <n v="5179.72"/>
        <n v="9561.78"/>
        <n v="3642.79"/>
        <n v="7046.63"/>
        <n v="5973.76"/>
        <n v="4814.55"/>
        <n v="1052.01"/>
        <n v="3570.98"/>
        <n v="920.6"/>
        <n v="4749.31"/>
        <n v="3962.63"/>
        <n v="3426.17"/>
        <n v="1631.32"/>
        <n v="10436.91"/>
        <n v="8241.27"/>
        <n v="2693.37"/>
        <n v="492.87"/>
        <n v="3030.4"/>
        <n v="1093.04"/>
        <n v="3675.93"/>
        <n v="3624.4"/>
        <n v="2952.76"/>
        <n v="7053.03"/>
        <n v="9136.22"/>
        <n v="1418.9"/>
        <n v="4184.32"/>
        <n v="1732.79"/>
        <n v="732.2"/>
        <n v="310.75"/>
        <n v="535.05"/>
        <n v="5273.36"/>
        <n v="7407.95"/>
        <n v="2580.04"/>
        <n v="5233.2"/>
        <n v="1886.12"/>
        <n v="8530.84"/>
        <n v="3291.65"/>
        <n v="791.68"/>
        <n v="1576.37"/>
        <n v="2513.82"/>
        <n v="6984.62"/>
        <n v="6419.14"/>
        <n v="8612.73"/>
        <n v="9194.06"/>
        <n v="2690.21"/>
        <n v="5260.89"/>
        <n v="1203.18"/>
        <n v="6521.34"/>
        <n v="3069.21"/>
        <n v="5789.75"/>
        <n v="3146.0"/>
        <n v="621.12"/>
        <n v="7673.73"/>
        <n v="2939.21"/>
        <n v="5159.26"/>
        <n v="3100.72"/>
        <n v="1551.3"/>
        <n v="1241.98"/>
        <n v="754.84"/>
        <n v="6439.52"/>
        <n v="4697.27"/>
        <n v="2008.99"/>
        <n v="4179.21"/>
        <n v="1877.4"/>
        <n v="3822.8"/>
        <n v="1797.11"/>
        <n v="3333.69"/>
        <n v="3851.56"/>
        <n v="5272.79"/>
        <n v="5242.14"/>
        <n v="4912.44"/>
        <n v="1801.05"/>
        <n v="5825.34"/>
        <n v="961.37"/>
        <n v="693.15"/>
        <n v="2035.61"/>
        <n v="13925.0"/>
        <n v="2047.99"/>
        <n v="11253.62"/>
        <n v="8158.94"/>
        <n v="1963.98"/>
        <n v="1652.11"/>
        <n v="3725.55"/>
        <n v="4284.37"/>
        <n v="3421.44"/>
        <n v="2733.31"/>
        <n v="1974.89"/>
        <n v="8582.24"/>
        <n v="4571.48"/>
        <n v="2035.91"/>
        <n v="7397.58"/>
        <n v="1499.33"/>
        <n v="5184.24"/>
        <n v="2163.43"/>
        <n v="1950.66"/>
        <n v="755.2"/>
        <n v="499.08"/>
        <n v="757.16"/>
        <n v="3247.45"/>
        <n v="2258.11"/>
        <n v="3674.55"/>
        <n v="5538.78"/>
        <n v="6672.67"/>
        <n v="2625.34"/>
        <n v="11381.39"/>
        <n v="2306.25"/>
        <n v="4456.33"/>
        <n v="4513.3"/>
        <n v="6472.86"/>
        <n v="4668.68"/>
        <n v="1512.65"/>
        <n v="1864.73"/>
        <n v="570.53"/>
        <n v="6037.11"/>
        <n v="2178.33"/>
        <n v="6134.31"/>
        <n v="10849.4"/>
        <n v="1679.71"/>
        <n v="5568.58"/>
        <n v="5171.08"/>
        <n v="5797.67"/>
        <n v="832.87"/>
        <n v="1810.3"/>
        <n v="3138.07"/>
        <n v="4202.44"/>
        <n v="2933.97"/>
        <n v="1455.92"/>
        <n v="4613.7"/>
        <n v="6374.15"/>
        <n v="1546.4"/>
        <n v="3860.58"/>
        <n v="5801.4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GOOGLE" cacheId="0" dataCaption="" compact="0" compactData="0">
  <location ref="A3:H16" firstHeaderRow="0" firstDataRow="4" firstDataCol="0"/>
  <pivotFields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  <field x="0"/>
    <field x="0"/>
  </rowFields>
  <colFields>
    <field x="-2"/>
  </colFields>
  <dataFields>
    <dataField name="Sum of conversions" fld="4" baseField="0"/>
    <dataField name="Sum of revenue" fld="5" baseField="0"/>
    <dataField name="Sum of spend" fld="3" baseField="0"/>
    <dataField name="Sum of clicks" fld="2" baseField="0"/>
    <dataField name="Sum of impressions" fld="1" baseField="0"/>
  </dataFields>
</pivotTableDefinition>
</file>

<file path=xl/pivotTables/pivotTable2.xml><?xml version="1.0" encoding="utf-8"?>
<pivotTableDefinition xmlns="http://schemas.openxmlformats.org/spreadsheetml/2006/main" name="Pivot Table Facebook" cacheId="1" dataCaption="" compact="0" compactData="0">
  <location ref="A1:F367" firstHeaderRow="0" firstDataRow="2" firstDataCol="0"/>
  <pivotFields>
    <pivotField name="Date" axis="axisRow" compact="0" numFmtId="1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Clic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name="Spen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name="Conver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</pivotFields>
  <rowFields>
    <field x="0"/>
  </rowFields>
  <colFields>
    <field x="-2"/>
  </colFields>
  <dataFields>
    <dataField name="SUM of Impressions" fld="1" baseField="0"/>
    <dataField name="SUM of Clicks" fld="2" baseField="0"/>
    <dataField name="SUM of Spend" fld="3" baseField="0"/>
    <dataField name="SUM of Conversions" fld="4" baseField="0"/>
    <dataField name="SUM of Revenue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78"/>
    <col customWidth="1" min="2" max="2" width="12.11"/>
    <col customWidth="1" min="3" max="3" width="6.33"/>
    <col customWidth="1" min="4" max="4" width="9.78"/>
    <col customWidth="1" min="5" max="5" width="12.11"/>
    <col customWidth="1" min="6" max="6" width="10.56"/>
    <col customWidth="1" min="7" max="7" width="14.33"/>
    <col customWidth="1" min="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5.75" customHeight="1">
      <c r="A2" s="3">
        <v>44927.0</v>
      </c>
      <c r="B2" s="4">
        <v>26268.0</v>
      </c>
      <c r="C2" s="4">
        <v>522.0</v>
      </c>
      <c r="D2" s="5">
        <v>642.96</v>
      </c>
      <c r="E2" s="4">
        <v>9.0</v>
      </c>
      <c r="F2" s="5">
        <v>1385.03</v>
      </c>
      <c r="G2" s="6"/>
      <c r="I2" s="5"/>
      <c r="J2" s="7"/>
    </row>
    <row r="3" ht="15.75" customHeight="1">
      <c r="A3" s="3">
        <v>44928.0</v>
      </c>
      <c r="B3" s="4">
        <v>92883.0</v>
      </c>
      <c r="C3" s="8">
        <v>1579.0</v>
      </c>
      <c r="D3" s="5">
        <v>2194.82</v>
      </c>
      <c r="E3" s="4">
        <v>37.0</v>
      </c>
      <c r="F3" s="5">
        <v>5509.8</v>
      </c>
      <c r="G3" s="6"/>
      <c r="I3" s="5"/>
    </row>
    <row r="4" ht="15.75" customHeight="1">
      <c r="A4" s="3">
        <v>44929.0</v>
      </c>
      <c r="B4" s="4">
        <v>14955.0</v>
      </c>
      <c r="C4" s="4">
        <v>276.0</v>
      </c>
      <c r="D4" s="5">
        <v>312.63</v>
      </c>
      <c r="E4" s="4">
        <v>6.0</v>
      </c>
      <c r="F4" s="5">
        <v>700.19</v>
      </c>
      <c r="G4" s="6"/>
      <c r="I4" s="5"/>
    </row>
    <row r="5" ht="15.75" customHeight="1">
      <c r="A5" s="3">
        <v>44930.0</v>
      </c>
      <c r="B5" s="4">
        <v>41109.0</v>
      </c>
      <c r="C5" s="4">
        <v>702.0</v>
      </c>
      <c r="D5" s="5">
        <v>1265.33</v>
      </c>
      <c r="E5" s="4">
        <v>13.0</v>
      </c>
      <c r="F5" s="5">
        <v>2728.06</v>
      </c>
      <c r="G5" s="6"/>
      <c r="I5" s="5"/>
      <c r="J5" s="5"/>
    </row>
    <row r="6" ht="15.75" customHeight="1">
      <c r="A6" s="3">
        <v>44931.0</v>
      </c>
      <c r="B6" s="4">
        <v>37989.0</v>
      </c>
      <c r="C6" s="4">
        <v>554.0</v>
      </c>
      <c r="D6" s="5">
        <v>798.68</v>
      </c>
      <c r="E6" s="4">
        <v>13.0</v>
      </c>
      <c r="F6" s="5">
        <v>2748.29</v>
      </c>
      <c r="G6" s="6"/>
      <c r="I6" s="5"/>
    </row>
    <row r="7" ht="15.75" customHeight="1">
      <c r="A7" s="3">
        <v>44932.0</v>
      </c>
      <c r="B7" s="4">
        <v>61008.0</v>
      </c>
      <c r="C7" s="8">
        <v>1085.0</v>
      </c>
      <c r="D7" s="5">
        <v>1987.27</v>
      </c>
      <c r="E7" s="4">
        <v>16.0</v>
      </c>
      <c r="F7" s="5">
        <v>2935.19</v>
      </c>
      <c r="G7" s="6"/>
      <c r="I7" s="5"/>
    </row>
    <row r="8" ht="15.75" customHeight="1">
      <c r="A8" s="3">
        <v>44933.0</v>
      </c>
      <c r="B8" s="4">
        <v>45181.0</v>
      </c>
      <c r="C8" s="8">
        <v>1246.0</v>
      </c>
      <c r="D8" s="5">
        <v>1259.46</v>
      </c>
      <c r="E8" s="4">
        <v>26.0</v>
      </c>
      <c r="F8" s="5">
        <v>5185.01</v>
      </c>
      <c r="G8" s="6"/>
      <c r="I8" s="5"/>
    </row>
    <row r="9" ht="15.75" customHeight="1">
      <c r="A9" s="3">
        <v>44934.0</v>
      </c>
      <c r="B9" s="4">
        <v>39529.0</v>
      </c>
      <c r="C9" s="4">
        <v>395.0</v>
      </c>
      <c r="D9" s="5">
        <v>660.13</v>
      </c>
      <c r="E9" s="4">
        <v>9.0</v>
      </c>
      <c r="F9" s="5">
        <v>1433.6</v>
      </c>
      <c r="G9" s="6"/>
      <c r="I9" s="5"/>
      <c r="M9" s="5"/>
    </row>
    <row r="10" ht="15.75" customHeight="1">
      <c r="A10" s="3">
        <v>44935.0</v>
      </c>
      <c r="B10" s="4">
        <v>84110.0</v>
      </c>
      <c r="C10" s="8">
        <v>1724.0</v>
      </c>
      <c r="D10" s="5">
        <v>2344.98</v>
      </c>
      <c r="E10" s="4">
        <v>32.0</v>
      </c>
      <c r="F10" s="5">
        <v>6125.59</v>
      </c>
      <c r="G10" s="6"/>
      <c r="I10" s="5"/>
    </row>
    <row r="11" ht="15.75" customHeight="1">
      <c r="A11" s="3">
        <v>44936.0</v>
      </c>
      <c r="B11" s="4">
        <v>70925.0</v>
      </c>
      <c r="C11" s="8">
        <v>1312.0</v>
      </c>
      <c r="D11" s="5">
        <v>2322.43</v>
      </c>
      <c r="E11" s="4">
        <v>16.0</v>
      </c>
      <c r="F11" s="5">
        <v>3099.87</v>
      </c>
      <c r="G11" s="6"/>
      <c r="I11" s="5"/>
    </row>
    <row r="12" ht="15.75" customHeight="1">
      <c r="A12" s="3">
        <v>44937.0</v>
      </c>
      <c r="B12" s="4">
        <v>78307.0</v>
      </c>
      <c r="C12" s="4">
        <v>783.0</v>
      </c>
      <c r="D12" s="5">
        <v>1417.35</v>
      </c>
      <c r="E12" s="4">
        <v>17.0</v>
      </c>
      <c r="F12" s="5">
        <v>3156.09</v>
      </c>
      <c r="G12" s="6"/>
      <c r="I12" s="5"/>
    </row>
    <row r="13" ht="15.75" customHeight="1">
      <c r="A13" s="3">
        <v>44938.0</v>
      </c>
      <c r="B13" s="4">
        <v>70313.0</v>
      </c>
      <c r="C13" s="8">
        <v>1265.0</v>
      </c>
      <c r="D13" s="5">
        <v>2164.23</v>
      </c>
      <c r="E13" s="4">
        <v>16.0</v>
      </c>
      <c r="F13" s="5">
        <v>3110.42</v>
      </c>
      <c r="G13" s="6"/>
      <c r="I13" s="5"/>
    </row>
    <row r="14" ht="15.75" customHeight="1">
      <c r="A14" s="3">
        <v>44939.0</v>
      </c>
      <c r="B14" s="4">
        <v>93757.0</v>
      </c>
      <c r="C14" s="8">
        <v>1818.0</v>
      </c>
      <c r="D14" s="5">
        <v>2182.66</v>
      </c>
      <c r="E14" s="4">
        <v>27.0</v>
      </c>
      <c r="F14" s="5">
        <v>3597.94</v>
      </c>
      <c r="G14" s="6"/>
      <c r="I14" s="5"/>
    </row>
    <row r="15" ht="15.75" customHeight="1">
      <c r="A15" s="3">
        <v>44940.0</v>
      </c>
      <c r="B15" s="4">
        <v>69770.0</v>
      </c>
      <c r="C15" s="8">
        <v>1276.0</v>
      </c>
      <c r="D15" s="5">
        <v>2349.29</v>
      </c>
      <c r="E15" s="4">
        <v>26.0</v>
      </c>
      <c r="F15" s="5">
        <v>3539.26</v>
      </c>
      <c r="G15" s="6"/>
      <c r="I15" s="5"/>
    </row>
    <row r="16" ht="15.75" customHeight="1">
      <c r="A16" s="3">
        <v>44941.0</v>
      </c>
      <c r="B16" s="4">
        <v>69622.0</v>
      </c>
      <c r="C16" s="8">
        <v>1879.0</v>
      </c>
      <c r="D16" s="5">
        <v>2575.31</v>
      </c>
      <c r="E16" s="4">
        <v>25.0</v>
      </c>
      <c r="F16" s="5">
        <v>2650.13</v>
      </c>
      <c r="G16" s="6"/>
      <c r="I16" s="5"/>
    </row>
    <row r="17" ht="15.75" customHeight="1">
      <c r="A17" s="3">
        <v>44942.0</v>
      </c>
      <c r="B17" s="4">
        <v>20474.0</v>
      </c>
      <c r="C17" s="4">
        <v>583.0</v>
      </c>
      <c r="D17" s="5">
        <v>1167.01</v>
      </c>
      <c r="E17" s="4">
        <v>11.0</v>
      </c>
      <c r="F17" s="5">
        <v>1464.02</v>
      </c>
      <c r="G17" s="6"/>
      <c r="I17" s="5"/>
    </row>
    <row r="18" ht="15.75" customHeight="1">
      <c r="A18" s="3">
        <v>44943.0</v>
      </c>
      <c r="B18" s="4">
        <v>99778.0</v>
      </c>
      <c r="C18" s="8">
        <v>2235.0</v>
      </c>
      <c r="D18" s="5">
        <v>3888.94</v>
      </c>
      <c r="E18" s="4">
        <v>53.0</v>
      </c>
      <c r="F18" s="5">
        <v>8582.5</v>
      </c>
      <c r="G18" s="6"/>
      <c r="I18" s="5"/>
    </row>
    <row r="19" ht="15.75" customHeight="1">
      <c r="A19" s="3">
        <v>44944.0</v>
      </c>
      <c r="B19" s="4">
        <v>61824.0</v>
      </c>
      <c r="C19" s="8">
        <v>1619.0</v>
      </c>
      <c r="D19" s="5">
        <v>1943.74</v>
      </c>
      <c r="E19" s="4">
        <v>22.0</v>
      </c>
      <c r="F19" s="5">
        <v>3334.5</v>
      </c>
      <c r="G19" s="6"/>
      <c r="I19" s="5"/>
    </row>
    <row r="20" ht="15.75" customHeight="1">
      <c r="A20" s="3">
        <v>44945.0</v>
      </c>
      <c r="B20" s="4">
        <v>66138.0</v>
      </c>
      <c r="C20" s="4">
        <v>773.0</v>
      </c>
      <c r="D20" s="5">
        <v>1276.79</v>
      </c>
      <c r="E20" s="4">
        <v>18.0</v>
      </c>
      <c r="F20" s="5">
        <v>2471.87</v>
      </c>
      <c r="G20" s="6"/>
      <c r="I20" s="5"/>
    </row>
    <row r="21" ht="15.75" customHeight="1">
      <c r="A21" s="3">
        <v>44946.0</v>
      </c>
      <c r="B21" s="4">
        <v>72950.0</v>
      </c>
      <c r="C21" s="8">
        <v>1028.0</v>
      </c>
      <c r="D21" s="5">
        <v>1275.45</v>
      </c>
      <c r="E21" s="4">
        <v>16.0</v>
      </c>
      <c r="F21" s="5">
        <v>3238.22</v>
      </c>
      <c r="G21" s="6"/>
      <c r="I21" s="5"/>
    </row>
    <row r="22" ht="15.75" customHeight="1">
      <c r="A22" s="3">
        <v>44947.0</v>
      </c>
      <c r="B22" s="4">
        <v>69746.0</v>
      </c>
      <c r="C22" s="8">
        <v>1513.0</v>
      </c>
      <c r="D22" s="5">
        <v>2436.71</v>
      </c>
      <c r="E22" s="4">
        <v>27.0</v>
      </c>
      <c r="F22" s="5">
        <v>4242.0</v>
      </c>
      <c r="G22" s="6"/>
      <c r="I22" s="5"/>
    </row>
    <row r="23" ht="15.75" customHeight="1">
      <c r="A23" s="3">
        <v>44948.0</v>
      </c>
      <c r="B23" s="4">
        <v>41036.0</v>
      </c>
      <c r="C23" s="4">
        <v>508.0</v>
      </c>
      <c r="D23" s="5">
        <v>712.38</v>
      </c>
      <c r="E23" s="4">
        <v>10.0</v>
      </c>
      <c r="F23" s="5">
        <v>1205.0</v>
      </c>
      <c r="G23" s="6"/>
      <c r="I23" s="5"/>
    </row>
    <row r="24" ht="15.75" customHeight="1">
      <c r="A24" s="3">
        <v>44949.0</v>
      </c>
      <c r="B24" s="4">
        <v>12284.0</v>
      </c>
      <c r="C24" s="4">
        <v>159.0</v>
      </c>
      <c r="D24" s="5">
        <v>161.28</v>
      </c>
      <c r="E24" s="4">
        <v>3.0</v>
      </c>
      <c r="F24" s="5">
        <v>518.23</v>
      </c>
      <c r="G24" s="6"/>
      <c r="I24" s="5"/>
    </row>
    <row r="25" ht="15.75" customHeight="1">
      <c r="A25" s="3">
        <v>44950.0</v>
      </c>
      <c r="B25" s="4">
        <v>67438.0</v>
      </c>
      <c r="C25" s="8">
        <v>1139.0</v>
      </c>
      <c r="D25" s="5">
        <v>1732.34</v>
      </c>
      <c r="E25" s="4">
        <v>24.0</v>
      </c>
      <c r="F25" s="5">
        <v>4639.04</v>
      </c>
      <c r="G25" s="6"/>
      <c r="H25" s="5"/>
      <c r="I25" s="5"/>
    </row>
    <row r="26" ht="15.75" customHeight="1">
      <c r="A26" s="3">
        <v>44951.0</v>
      </c>
      <c r="B26" s="4">
        <v>47354.0</v>
      </c>
      <c r="C26" s="8">
        <v>1235.0</v>
      </c>
      <c r="D26" s="5">
        <v>2397.72</v>
      </c>
      <c r="E26" s="4">
        <v>28.0</v>
      </c>
      <c r="F26" s="5">
        <v>5031.51</v>
      </c>
      <c r="G26" s="6"/>
      <c r="I26" s="5"/>
    </row>
    <row r="27" ht="15.75" customHeight="1">
      <c r="A27" s="3">
        <v>44952.0</v>
      </c>
      <c r="B27" s="4">
        <v>28310.0</v>
      </c>
      <c r="C27" s="4">
        <v>322.0</v>
      </c>
      <c r="D27" s="5">
        <v>590.6</v>
      </c>
      <c r="E27" s="4">
        <v>6.0</v>
      </c>
      <c r="F27" s="5">
        <v>965.62</v>
      </c>
      <c r="G27" s="6"/>
      <c r="I27" s="5"/>
    </row>
    <row r="28" ht="15.75" customHeight="1">
      <c r="A28" s="3">
        <v>44953.0</v>
      </c>
      <c r="B28" s="4">
        <v>25310.0</v>
      </c>
      <c r="C28" s="4">
        <v>394.0</v>
      </c>
      <c r="D28" s="5">
        <v>758.08</v>
      </c>
      <c r="E28" s="4">
        <v>7.0</v>
      </c>
      <c r="F28" s="5">
        <v>1300.67</v>
      </c>
      <c r="G28" s="6"/>
      <c r="I28" s="5"/>
    </row>
    <row r="29" ht="15.75" customHeight="1">
      <c r="A29" s="3">
        <v>44954.0</v>
      </c>
      <c r="B29" s="4">
        <v>73481.0</v>
      </c>
      <c r="C29" s="4">
        <v>734.0</v>
      </c>
      <c r="D29" s="5">
        <v>1241.82</v>
      </c>
      <c r="E29" s="4">
        <v>18.0</v>
      </c>
      <c r="F29" s="5">
        <v>3145.28</v>
      </c>
      <c r="G29" s="6"/>
      <c r="I29" s="5"/>
    </row>
    <row r="30" ht="15.75" customHeight="1">
      <c r="A30" s="3">
        <v>44955.0</v>
      </c>
      <c r="B30" s="4">
        <v>27514.0</v>
      </c>
      <c r="C30" s="4">
        <v>734.0</v>
      </c>
      <c r="D30" s="5">
        <v>881.54</v>
      </c>
      <c r="E30" s="4">
        <v>13.0</v>
      </c>
      <c r="F30" s="5">
        <v>2706.28</v>
      </c>
      <c r="G30" s="6"/>
      <c r="I30" s="5"/>
    </row>
    <row r="31" ht="15.75" customHeight="1">
      <c r="A31" s="3">
        <v>44956.0</v>
      </c>
      <c r="B31" s="4">
        <v>51191.0</v>
      </c>
      <c r="C31" s="8">
        <v>1494.0</v>
      </c>
      <c r="D31" s="5">
        <v>2331.85</v>
      </c>
      <c r="E31" s="4">
        <v>25.0</v>
      </c>
      <c r="F31" s="5">
        <v>3322.89</v>
      </c>
      <c r="G31" s="6"/>
      <c r="I31" s="5"/>
    </row>
    <row r="32" ht="15.75" customHeight="1">
      <c r="A32" s="3">
        <v>44957.0</v>
      </c>
      <c r="B32" s="4">
        <v>79805.0</v>
      </c>
      <c r="C32" s="8">
        <v>1596.0</v>
      </c>
      <c r="D32" s="5">
        <v>2489.91</v>
      </c>
      <c r="E32" s="4">
        <v>30.0</v>
      </c>
      <c r="F32" s="5">
        <v>4892.37</v>
      </c>
      <c r="G32" s="6"/>
      <c r="I32" s="5"/>
    </row>
    <row r="33" ht="15.75" customHeight="1">
      <c r="A33" s="3">
        <v>44958.0</v>
      </c>
      <c r="B33" s="4">
        <v>98345.0</v>
      </c>
      <c r="C33" s="8">
        <v>2655.0</v>
      </c>
      <c r="D33" s="5">
        <v>3027.05</v>
      </c>
      <c r="E33" s="4">
        <v>55.0</v>
      </c>
      <c r="F33" s="5">
        <v>7583.58</v>
      </c>
      <c r="G33" s="6"/>
      <c r="I33" s="5"/>
    </row>
    <row r="34" ht="15.75" customHeight="1">
      <c r="A34" s="3">
        <v>44959.0</v>
      </c>
      <c r="B34" s="4">
        <v>32308.0</v>
      </c>
      <c r="C34" s="4">
        <v>416.0</v>
      </c>
      <c r="D34" s="5">
        <v>758.52</v>
      </c>
      <c r="E34" s="4">
        <v>8.0</v>
      </c>
      <c r="F34" s="5">
        <v>1549.77</v>
      </c>
      <c r="G34" s="6"/>
      <c r="I34" s="5"/>
    </row>
    <row r="35" ht="15.75" customHeight="1">
      <c r="A35" s="3">
        <v>44960.0</v>
      </c>
      <c r="B35" s="4">
        <v>25676.0</v>
      </c>
      <c r="C35" s="4">
        <v>629.0</v>
      </c>
      <c r="D35" s="5">
        <v>742.29</v>
      </c>
      <c r="E35" s="4">
        <v>15.0</v>
      </c>
      <c r="F35" s="5">
        <v>2330.67</v>
      </c>
      <c r="G35" s="6"/>
      <c r="I35" s="5"/>
    </row>
    <row r="36" ht="15.75" customHeight="1">
      <c r="A36" s="3">
        <v>44961.0</v>
      </c>
      <c r="B36" s="4">
        <v>14162.0</v>
      </c>
      <c r="C36" s="4">
        <v>409.0</v>
      </c>
      <c r="D36" s="5">
        <v>450.2</v>
      </c>
      <c r="E36" s="4">
        <v>7.0</v>
      </c>
      <c r="F36" s="5">
        <v>991.28</v>
      </c>
      <c r="G36" s="6"/>
      <c r="I36" s="5"/>
    </row>
    <row r="37" ht="15.75" customHeight="1">
      <c r="A37" s="3">
        <v>44962.0</v>
      </c>
      <c r="B37" s="4">
        <v>75090.0</v>
      </c>
      <c r="C37" s="8">
        <v>2064.0</v>
      </c>
      <c r="D37" s="5">
        <v>3675.65</v>
      </c>
      <c r="E37" s="4">
        <v>33.0</v>
      </c>
      <c r="F37" s="5">
        <v>6671.52</v>
      </c>
      <c r="G37" s="6"/>
      <c r="I37" s="5"/>
    </row>
    <row r="38" ht="15.75" customHeight="1">
      <c r="A38" s="3">
        <v>44963.0</v>
      </c>
      <c r="B38" s="4">
        <v>90438.0</v>
      </c>
      <c r="C38" s="8">
        <v>1003.0</v>
      </c>
      <c r="D38" s="5">
        <v>1395.36</v>
      </c>
      <c r="E38" s="4">
        <v>20.0</v>
      </c>
      <c r="F38" s="5">
        <v>2372.53</v>
      </c>
      <c r="G38" s="6"/>
      <c r="I38" s="5"/>
    </row>
    <row r="39" ht="15.75" customHeight="1">
      <c r="A39" s="3">
        <v>44964.0</v>
      </c>
      <c r="B39" s="4">
        <v>85990.0</v>
      </c>
      <c r="C39" s="8">
        <v>2209.0</v>
      </c>
      <c r="D39" s="5">
        <v>3535.9</v>
      </c>
      <c r="E39" s="4">
        <v>39.0</v>
      </c>
      <c r="F39" s="5">
        <v>6250.16</v>
      </c>
      <c r="G39" s="6"/>
      <c r="I39" s="5"/>
    </row>
    <row r="40" ht="15.75" customHeight="1">
      <c r="A40" s="3">
        <v>44965.0</v>
      </c>
      <c r="B40" s="4">
        <v>81784.0</v>
      </c>
      <c r="C40" s="4">
        <v>891.0</v>
      </c>
      <c r="D40" s="5">
        <v>962.76</v>
      </c>
      <c r="E40" s="4">
        <v>16.0</v>
      </c>
      <c r="F40" s="5">
        <v>3049.55</v>
      </c>
      <c r="G40" s="6"/>
      <c r="I40" s="5"/>
    </row>
    <row r="41" ht="15.75" customHeight="1">
      <c r="A41" s="3">
        <v>44966.0</v>
      </c>
      <c r="B41" s="4">
        <v>58169.0</v>
      </c>
      <c r="C41" s="8">
        <v>1547.0</v>
      </c>
      <c r="D41" s="5">
        <v>3017.22</v>
      </c>
      <c r="E41" s="4">
        <v>22.0</v>
      </c>
      <c r="F41" s="5">
        <v>2629.16</v>
      </c>
      <c r="G41" s="6"/>
      <c r="I41" s="5"/>
    </row>
    <row r="42" ht="15.75" customHeight="1">
      <c r="A42" s="3">
        <v>44967.0</v>
      </c>
      <c r="B42" s="4">
        <v>39755.0</v>
      </c>
      <c r="C42" s="8">
        <v>1121.0</v>
      </c>
      <c r="D42" s="5">
        <v>1244.41</v>
      </c>
      <c r="E42" s="4">
        <v>28.0</v>
      </c>
      <c r="F42" s="5">
        <v>5521.37</v>
      </c>
      <c r="G42" s="6"/>
      <c r="I42" s="5"/>
    </row>
    <row r="43" ht="15.75" customHeight="1">
      <c r="A43" s="3">
        <v>44968.0</v>
      </c>
      <c r="B43" s="4">
        <v>78407.0</v>
      </c>
      <c r="C43" s="8">
        <v>1795.0</v>
      </c>
      <c r="D43" s="5">
        <v>2082.8</v>
      </c>
      <c r="E43" s="4">
        <v>28.0</v>
      </c>
      <c r="F43" s="5">
        <v>5574.01</v>
      </c>
      <c r="G43" s="6"/>
      <c r="I43" s="5"/>
    </row>
    <row r="44" ht="15.75" customHeight="1">
      <c r="A44" s="3">
        <v>44969.0</v>
      </c>
      <c r="B44" s="4">
        <v>86349.0</v>
      </c>
      <c r="C44" s="8">
        <v>1761.0</v>
      </c>
      <c r="D44" s="5">
        <v>1761.51</v>
      </c>
      <c r="E44" s="4">
        <v>28.0</v>
      </c>
      <c r="F44" s="5">
        <v>4737.61</v>
      </c>
      <c r="G44" s="6"/>
      <c r="I44" s="5"/>
    </row>
    <row r="45" ht="15.75" customHeight="1">
      <c r="A45" s="3">
        <v>44970.0</v>
      </c>
      <c r="B45" s="4">
        <v>24867.0</v>
      </c>
      <c r="C45" s="4">
        <v>509.0</v>
      </c>
      <c r="D45" s="5">
        <v>764.66</v>
      </c>
      <c r="E45" s="4">
        <v>12.0</v>
      </c>
      <c r="F45" s="5">
        <v>1948.97</v>
      </c>
      <c r="G45" s="6"/>
      <c r="I45" s="5"/>
    </row>
    <row r="46" ht="15.75" customHeight="1">
      <c r="A46" s="3">
        <v>44971.0</v>
      </c>
      <c r="B46" s="4">
        <v>91084.0</v>
      </c>
      <c r="C46" s="8">
        <v>1803.0</v>
      </c>
      <c r="D46" s="5">
        <v>2452.7</v>
      </c>
      <c r="E46" s="4">
        <v>37.0</v>
      </c>
      <c r="F46" s="5">
        <v>6977.24</v>
      </c>
      <c r="G46" s="6"/>
      <c r="I46" s="5"/>
    </row>
    <row r="47" ht="15.75" customHeight="1">
      <c r="A47" s="3">
        <v>44972.0</v>
      </c>
      <c r="B47" s="4">
        <v>69446.0</v>
      </c>
      <c r="C47" s="8">
        <v>1951.0</v>
      </c>
      <c r="D47" s="5">
        <v>3415.0</v>
      </c>
      <c r="E47" s="4">
        <v>25.0</v>
      </c>
      <c r="F47" s="5">
        <v>4617.09</v>
      </c>
      <c r="G47" s="6"/>
      <c r="I47" s="5"/>
    </row>
    <row r="48" ht="15.75" customHeight="1">
      <c r="A48" s="3">
        <v>44973.0</v>
      </c>
      <c r="B48" s="4">
        <v>13572.0</v>
      </c>
      <c r="C48" s="4">
        <v>184.0</v>
      </c>
      <c r="D48" s="5">
        <v>350.7</v>
      </c>
      <c r="E48" s="4">
        <v>4.0</v>
      </c>
      <c r="F48" s="5">
        <v>707.79</v>
      </c>
      <c r="G48" s="6"/>
      <c r="I48" s="5"/>
    </row>
    <row r="49" ht="15.75" customHeight="1">
      <c r="A49" s="3">
        <v>44974.0</v>
      </c>
      <c r="B49" s="4">
        <v>10937.0</v>
      </c>
      <c r="C49" s="4">
        <v>184.0</v>
      </c>
      <c r="D49" s="5">
        <v>354.88</v>
      </c>
      <c r="E49" s="4">
        <v>3.0</v>
      </c>
      <c r="F49" s="5">
        <v>729.3</v>
      </c>
      <c r="G49" s="6"/>
      <c r="I49" s="5"/>
    </row>
    <row r="50" ht="15.75" customHeight="1">
      <c r="A50" s="3">
        <v>44975.0</v>
      </c>
      <c r="B50" s="4">
        <v>51617.0</v>
      </c>
      <c r="C50" s="4">
        <v>701.0</v>
      </c>
      <c r="D50" s="5">
        <v>1396.96</v>
      </c>
      <c r="E50" s="4">
        <v>9.0</v>
      </c>
      <c r="F50" s="5">
        <v>1798.5</v>
      </c>
      <c r="G50" s="6"/>
      <c r="I50" s="5"/>
    </row>
    <row r="51" ht="15.75" customHeight="1">
      <c r="A51" s="3">
        <v>44976.0</v>
      </c>
      <c r="B51" s="4">
        <v>27084.0</v>
      </c>
      <c r="C51" s="4">
        <v>603.0</v>
      </c>
      <c r="D51" s="5">
        <v>1183.78</v>
      </c>
      <c r="E51" s="4">
        <v>11.0</v>
      </c>
      <c r="F51" s="5">
        <v>1356.4</v>
      </c>
      <c r="G51" s="6"/>
      <c r="I51" s="5"/>
    </row>
    <row r="52" ht="15.75" customHeight="1">
      <c r="A52" s="3">
        <v>44977.0</v>
      </c>
      <c r="B52" s="4">
        <v>81535.0</v>
      </c>
      <c r="C52" s="8">
        <v>1223.0</v>
      </c>
      <c r="D52" s="5">
        <v>2128.06</v>
      </c>
      <c r="E52" s="4">
        <v>28.0</v>
      </c>
      <c r="F52" s="5">
        <v>4435.91</v>
      </c>
      <c r="G52" s="6"/>
      <c r="I52" s="5"/>
    </row>
    <row r="53" ht="15.75" customHeight="1">
      <c r="A53" s="3">
        <v>44978.0</v>
      </c>
      <c r="B53" s="4">
        <v>87918.0</v>
      </c>
      <c r="C53" s="4">
        <v>975.0</v>
      </c>
      <c r="D53" s="5">
        <v>1580.94</v>
      </c>
      <c r="E53" s="4">
        <v>14.0</v>
      </c>
      <c r="F53" s="5">
        <v>1524.54</v>
      </c>
      <c r="G53" s="6"/>
      <c r="I53" s="5"/>
    </row>
    <row r="54" ht="15.75" customHeight="1">
      <c r="A54" s="3">
        <v>44979.0</v>
      </c>
      <c r="B54" s="4">
        <v>67900.0</v>
      </c>
      <c r="C54" s="4">
        <v>916.0</v>
      </c>
      <c r="D54" s="5">
        <v>1567.47</v>
      </c>
      <c r="E54" s="4">
        <v>15.0</v>
      </c>
      <c r="F54" s="5">
        <v>2223.33</v>
      </c>
      <c r="G54" s="6"/>
      <c r="I54" s="5"/>
    </row>
    <row r="55" ht="15.75" customHeight="1">
      <c r="A55" s="3">
        <v>44980.0</v>
      </c>
      <c r="B55" s="4">
        <v>86072.0</v>
      </c>
      <c r="C55" s="4">
        <v>946.0</v>
      </c>
      <c r="D55" s="5">
        <v>1505.39</v>
      </c>
      <c r="E55" s="4">
        <v>23.0</v>
      </c>
      <c r="F55" s="5">
        <v>4408.55</v>
      </c>
      <c r="G55" s="6"/>
      <c r="I55" s="5"/>
    </row>
    <row r="56" ht="15.75" customHeight="1">
      <c r="A56" s="3">
        <v>44981.0</v>
      </c>
      <c r="B56" s="4">
        <v>17883.0</v>
      </c>
      <c r="C56" s="4">
        <v>482.0</v>
      </c>
      <c r="D56" s="5">
        <v>627.69</v>
      </c>
      <c r="E56" s="4">
        <v>6.0</v>
      </c>
      <c r="F56" s="5">
        <v>691.38</v>
      </c>
      <c r="G56" s="6"/>
      <c r="I56" s="5"/>
    </row>
    <row r="57" ht="15.75" customHeight="1">
      <c r="A57" s="3">
        <v>44982.0</v>
      </c>
      <c r="B57" s="4">
        <v>57777.0</v>
      </c>
      <c r="C57" s="4">
        <v>901.0</v>
      </c>
      <c r="D57" s="5">
        <v>1027.5</v>
      </c>
      <c r="E57" s="4">
        <v>16.0</v>
      </c>
      <c r="F57" s="5">
        <v>1914.41</v>
      </c>
      <c r="G57" s="6"/>
      <c r="I57" s="5"/>
    </row>
    <row r="58" ht="15.75" customHeight="1">
      <c r="A58" s="3">
        <v>44983.0</v>
      </c>
      <c r="B58" s="4">
        <v>81640.0</v>
      </c>
      <c r="C58" s="8">
        <v>2155.0</v>
      </c>
      <c r="D58" s="5">
        <v>2952.75</v>
      </c>
      <c r="E58" s="4">
        <v>35.0</v>
      </c>
      <c r="F58" s="5">
        <v>5690.84</v>
      </c>
      <c r="G58" s="6"/>
      <c r="I58" s="5"/>
    </row>
    <row r="59" ht="15.75" customHeight="1">
      <c r="A59" s="3">
        <v>44984.0</v>
      </c>
      <c r="B59" s="4">
        <v>44824.0</v>
      </c>
      <c r="C59" s="8">
        <v>1290.0</v>
      </c>
      <c r="D59" s="5">
        <v>2246.22</v>
      </c>
      <c r="E59" s="4">
        <v>16.0</v>
      </c>
      <c r="F59" s="5">
        <v>3222.16</v>
      </c>
      <c r="G59" s="6"/>
      <c r="I59" s="5"/>
    </row>
    <row r="60" ht="15.75" customHeight="1">
      <c r="A60" s="3">
        <v>44985.0</v>
      </c>
      <c r="B60" s="4">
        <v>14995.0</v>
      </c>
      <c r="C60" s="4">
        <v>169.0</v>
      </c>
      <c r="D60" s="5">
        <v>276.19</v>
      </c>
      <c r="E60" s="4">
        <v>2.0</v>
      </c>
      <c r="F60" s="5">
        <v>381.08</v>
      </c>
      <c r="G60" s="6"/>
      <c r="I60" s="5"/>
    </row>
    <row r="61" ht="15.75" customHeight="1">
      <c r="A61" s="3">
        <v>44986.0</v>
      </c>
      <c r="B61" s="4">
        <v>67762.0</v>
      </c>
      <c r="C61" s="8">
        <v>1314.0</v>
      </c>
      <c r="D61" s="5">
        <v>1708.95</v>
      </c>
      <c r="E61" s="4">
        <v>29.0</v>
      </c>
      <c r="F61" s="5">
        <v>4405.96</v>
      </c>
      <c r="G61" s="6"/>
      <c r="I61" s="5"/>
    </row>
    <row r="62" ht="15.75" customHeight="1">
      <c r="A62" s="3">
        <v>44987.0</v>
      </c>
      <c r="B62" s="4">
        <v>46410.0</v>
      </c>
      <c r="C62" s="8">
        <v>1299.0</v>
      </c>
      <c r="D62" s="5">
        <v>2066.17</v>
      </c>
      <c r="E62" s="4">
        <v>23.0</v>
      </c>
      <c r="F62" s="5">
        <v>3695.72</v>
      </c>
      <c r="G62" s="6"/>
      <c r="I62" s="5"/>
    </row>
    <row r="63" ht="15.75" customHeight="1">
      <c r="A63" s="3">
        <v>44988.0</v>
      </c>
      <c r="B63" s="4">
        <v>21953.0</v>
      </c>
      <c r="C63" s="4">
        <v>568.0</v>
      </c>
      <c r="D63" s="5">
        <v>693.67</v>
      </c>
      <c r="E63" s="4">
        <v>13.0</v>
      </c>
      <c r="F63" s="5">
        <v>2447.75</v>
      </c>
      <c r="G63" s="6"/>
      <c r="I63" s="5"/>
    </row>
    <row r="64" ht="15.75" customHeight="1">
      <c r="A64" s="3">
        <v>44989.0</v>
      </c>
      <c r="B64" s="4">
        <v>33528.0</v>
      </c>
      <c r="C64" s="4">
        <v>512.0</v>
      </c>
      <c r="D64" s="5">
        <v>815.63</v>
      </c>
      <c r="E64" s="4">
        <v>10.0</v>
      </c>
      <c r="F64" s="5">
        <v>2046.78</v>
      </c>
      <c r="G64" s="6"/>
      <c r="I64" s="5"/>
    </row>
    <row r="65" ht="15.75" customHeight="1">
      <c r="A65" s="3">
        <v>44990.0</v>
      </c>
      <c r="B65" s="4">
        <v>54650.0</v>
      </c>
      <c r="C65" s="8">
        <v>1306.0</v>
      </c>
      <c r="D65" s="5">
        <v>2298.79</v>
      </c>
      <c r="E65" s="4">
        <v>30.0</v>
      </c>
      <c r="F65" s="5">
        <v>3317.19</v>
      </c>
      <c r="G65" s="6"/>
      <c r="I65" s="5"/>
    </row>
    <row r="66" ht="15.75" customHeight="1">
      <c r="A66" s="3">
        <v>44991.0</v>
      </c>
      <c r="B66" s="4">
        <v>59691.0</v>
      </c>
      <c r="C66" s="8">
        <v>1331.0</v>
      </c>
      <c r="D66" s="5">
        <v>1623.95</v>
      </c>
      <c r="E66" s="4">
        <v>20.0</v>
      </c>
      <c r="F66" s="5">
        <v>4026.34</v>
      </c>
      <c r="G66" s="6"/>
      <c r="I66" s="5"/>
    </row>
    <row r="67" ht="15.75" customHeight="1">
      <c r="A67" s="3">
        <v>44992.0</v>
      </c>
      <c r="B67" s="4">
        <v>25009.0</v>
      </c>
      <c r="C67" s="4">
        <v>592.0</v>
      </c>
      <c r="D67" s="5">
        <v>610.49</v>
      </c>
      <c r="E67" s="4">
        <v>10.0</v>
      </c>
      <c r="F67" s="5">
        <v>1130.9</v>
      </c>
      <c r="G67" s="6"/>
      <c r="I67" s="5"/>
    </row>
    <row r="68" ht="15.75" customHeight="1">
      <c r="A68" s="3">
        <v>44993.0</v>
      </c>
      <c r="B68" s="4">
        <v>80702.0</v>
      </c>
      <c r="C68" s="8">
        <v>1985.0</v>
      </c>
      <c r="D68" s="5">
        <v>2104.38</v>
      </c>
      <c r="E68" s="4">
        <v>47.0</v>
      </c>
      <c r="F68" s="5">
        <v>4866.69</v>
      </c>
      <c r="G68" s="6"/>
      <c r="I68" s="5"/>
    </row>
    <row r="69" ht="15.75" customHeight="1">
      <c r="A69" s="3">
        <v>44994.0</v>
      </c>
      <c r="B69" s="4">
        <v>72929.0</v>
      </c>
      <c r="C69" s="8">
        <v>2093.0</v>
      </c>
      <c r="D69" s="5">
        <v>2804.7</v>
      </c>
      <c r="E69" s="4">
        <v>47.0</v>
      </c>
      <c r="F69" s="5">
        <v>6936.83</v>
      </c>
      <c r="G69" s="6"/>
      <c r="I69" s="5"/>
    </row>
    <row r="70" ht="15.75" customHeight="1">
      <c r="A70" s="3">
        <v>44995.0</v>
      </c>
      <c r="B70" s="4">
        <v>82617.0</v>
      </c>
      <c r="C70" s="8">
        <v>1949.0</v>
      </c>
      <c r="D70" s="5">
        <v>2983.13</v>
      </c>
      <c r="E70" s="4">
        <v>39.0</v>
      </c>
      <c r="F70" s="5">
        <v>7401.49</v>
      </c>
      <c r="G70" s="6"/>
      <c r="I70" s="5"/>
    </row>
    <row r="71" ht="15.75" customHeight="1">
      <c r="A71" s="3">
        <v>44996.0</v>
      </c>
      <c r="B71" s="4">
        <v>32703.0</v>
      </c>
      <c r="C71" s="4">
        <v>817.0</v>
      </c>
      <c r="D71" s="5">
        <v>964.73</v>
      </c>
      <c r="E71" s="4">
        <v>10.0</v>
      </c>
      <c r="F71" s="5">
        <v>1895.3</v>
      </c>
      <c r="G71" s="6"/>
      <c r="I71" s="5"/>
    </row>
    <row r="72" ht="15.75" customHeight="1">
      <c r="A72" s="3">
        <v>44997.0</v>
      </c>
      <c r="B72" s="4">
        <v>92119.0</v>
      </c>
      <c r="C72" s="8">
        <v>1538.0</v>
      </c>
      <c r="D72" s="5">
        <v>2092.2</v>
      </c>
      <c r="E72" s="4">
        <v>27.0</v>
      </c>
      <c r="F72" s="5">
        <v>4954.84</v>
      </c>
      <c r="G72" s="6"/>
      <c r="I72" s="5"/>
    </row>
    <row r="73" ht="15.75" customHeight="1">
      <c r="A73" s="3">
        <v>44998.0</v>
      </c>
      <c r="B73" s="4">
        <v>25896.0</v>
      </c>
      <c r="C73" s="4">
        <v>507.0</v>
      </c>
      <c r="D73" s="5">
        <v>695.35</v>
      </c>
      <c r="E73" s="4">
        <v>10.0</v>
      </c>
      <c r="F73" s="5">
        <v>1285.45</v>
      </c>
      <c r="G73" s="6"/>
      <c r="I73" s="5"/>
    </row>
    <row r="74" ht="15.75" customHeight="1">
      <c r="A74" s="3">
        <v>44999.0</v>
      </c>
      <c r="B74" s="4">
        <v>59317.0</v>
      </c>
      <c r="C74" s="4">
        <v>622.0</v>
      </c>
      <c r="D74" s="5">
        <v>1170.91</v>
      </c>
      <c r="E74" s="4">
        <v>8.0</v>
      </c>
      <c r="F74" s="5">
        <v>995.53</v>
      </c>
      <c r="G74" s="6"/>
      <c r="I74" s="5"/>
    </row>
    <row r="75" ht="15.75" customHeight="1">
      <c r="A75" s="3">
        <v>45000.0</v>
      </c>
      <c r="B75" s="4">
        <v>24567.0</v>
      </c>
      <c r="C75" s="4">
        <v>309.0</v>
      </c>
      <c r="D75" s="5">
        <v>318.83</v>
      </c>
      <c r="E75" s="4">
        <v>5.0</v>
      </c>
      <c r="F75" s="5">
        <v>959.46</v>
      </c>
      <c r="G75" s="6"/>
      <c r="I75" s="5"/>
    </row>
    <row r="76" ht="15.75" customHeight="1">
      <c r="A76" s="3">
        <v>45001.0</v>
      </c>
      <c r="B76" s="4">
        <v>24965.0</v>
      </c>
      <c r="C76" s="4">
        <v>509.0</v>
      </c>
      <c r="D76" s="5">
        <v>860.69</v>
      </c>
      <c r="E76" s="4">
        <v>9.0</v>
      </c>
      <c r="F76" s="5">
        <v>1031.1</v>
      </c>
      <c r="G76" s="6"/>
      <c r="I76" s="5"/>
    </row>
    <row r="77" ht="15.75" customHeight="1">
      <c r="A77" s="3">
        <v>45002.0</v>
      </c>
      <c r="B77" s="4">
        <v>52112.0</v>
      </c>
      <c r="C77" s="8">
        <v>1469.0</v>
      </c>
      <c r="D77" s="5">
        <v>2571.72</v>
      </c>
      <c r="E77" s="4">
        <v>36.0</v>
      </c>
      <c r="F77" s="5">
        <v>6948.81</v>
      </c>
      <c r="G77" s="6"/>
      <c r="I77" s="5"/>
    </row>
    <row r="78" ht="15.75" customHeight="1">
      <c r="A78" s="3">
        <v>45003.0</v>
      </c>
      <c r="B78" s="4">
        <v>38805.0</v>
      </c>
      <c r="C78" s="4">
        <v>667.0</v>
      </c>
      <c r="D78" s="5">
        <v>1041.21</v>
      </c>
      <c r="E78" s="4">
        <v>10.0</v>
      </c>
      <c r="F78" s="5">
        <v>1067.91</v>
      </c>
      <c r="G78" s="6"/>
      <c r="H78" s="5"/>
      <c r="I78" s="5"/>
    </row>
    <row r="79" ht="15.75" customHeight="1">
      <c r="A79" s="3">
        <v>45004.0</v>
      </c>
      <c r="B79" s="4">
        <v>28757.0</v>
      </c>
      <c r="C79" s="4">
        <v>578.0</v>
      </c>
      <c r="D79" s="5">
        <v>838.12</v>
      </c>
      <c r="E79" s="4">
        <v>13.0</v>
      </c>
      <c r="F79" s="5">
        <v>2470.15</v>
      </c>
      <c r="G79" s="6"/>
      <c r="I79" s="5"/>
    </row>
    <row r="80" ht="15.75" customHeight="1">
      <c r="A80" s="3">
        <v>45005.0</v>
      </c>
      <c r="B80" s="4">
        <v>86041.0</v>
      </c>
      <c r="C80" s="4">
        <v>920.0</v>
      </c>
      <c r="D80" s="5">
        <v>1620.32</v>
      </c>
      <c r="E80" s="4">
        <v>22.0</v>
      </c>
      <c r="F80" s="5">
        <v>4071.62</v>
      </c>
      <c r="G80" s="6"/>
      <c r="I80" s="5"/>
    </row>
    <row r="81" ht="15.75" customHeight="1">
      <c r="A81" s="3">
        <v>45006.0</v>
      </c>
      <c r="B81" s="4">
        <v>32225.0</v>
      </c>
      <c r="C81" s="4">
        <v>757.0</v>
      </c>
      <c r="D81" s="5">
        <v>1431.27</v>
      </c>
      <c r="E81" s="4">
        <v>14.0</v>
      </c>
      <c r="F81" s="5">
        <v>1533.2</v>
      </c>
      <c r="G81" s="6"/>
      <c r="I81" s="5"/>
    </row>
    <row r="82" ht="15.75" customHeight="1">
      <c r="A82" s="3">
        <v>45007.0</v>
      </c>
      <c r="B82" s="4">
        <v>34968.0</v>
      </c>
      <c r="C82" s="8">
        <v>1003.0</v>
      </c>
      <c r="D82" s="5">
        <v>1204.29</v>
      </c>
      <c r="E82" s="4">
        <v>15.0</v>
      </c>
      <c r="F82" s="5">
        <v>2202.06</v>
      </c>
      <c r="G82" s="6"/>
      <c r="I82" s="5"/>
    </row>
    <row r="83" ht="15.75" customHeight="1">
      <c r="A83" s="3">
        <v>45008.0</v>
      </c>
      <c r="B83" s="4">
        <v>99565.0</v>
      </c>
      <c r="C83" s="8">
        <v>1712.0</v>
      </c>
      <c r="D83" s="5">
        <v>2123.52</v>
      </c>
      <c r="E83" s="4">
        <v>29.0</v>
      </c>
      <c r="F83" s="5">
        <v>4041.2</v>
      </c>
      <c r="G83" s="6"/>
      <c r="I83" s="5"/>
    </row>
    <row r="84" ht="15.75" customHeight="1">
      <c r="A84" s="3">
        <v>45009.0</v>
      </c>
      <c r="B84" s="4">
        <v>10200.0</v>
      </c>
      <c r="C84" s="4">
        <v>124.0</v>
      </c>
      <c r="D84" s="5">
        <v>200.34</v>
      </c>
      <c r="E84" s="4">
        <v>1.0</v>
      </c>
      <c r="F84" s="5">
        <v>203.21</v>
      </c>
      <c r="G84" s="6"/>
      <c r="I84" s="5"/>
    </row>
    <row r="85" ht="15.75" customHeight="1">
      <c r="A85" s="3">
        <v>45010.0</v>
      </c>
      <c r="B85" s="4">
        <v>72780.0</v>
      </c>
      <c r="C85" s="8">
        <v>1841.0</v>
      </c>
      <c r="D85" s="5">
        <v>3369.64</v>
      </c>
      <c r="E85" s="4">
        <v>31.0</v>
      </c>
      <c r="F85" s="5">
        <v>3809.9</v>
      </c>
      <c r="G85" s="6"/>
      <c r="I85" s="5"/>
    </row>
    <row r="86" ht="15.75" customHeight="1">
      <c r="A86" s="3">
        <v>45011.0</v>
      </c>
      <c r="B86" s="4">
        <v>24442.0</v>
      </c>
      <c r="C86" s="4">
        <v>589.0</v>
      </c>
      <c r="D86" s="5">
        <v>612.61</v>
      </c>
      <c r="E86" s="4">
        <v>13.0</v>
      </c>
      <c r="F86" s="5">
        <v>1422.56</v>
      </c>
      <c r="G86" s="6"/>
      <c r="I86" s="5"/>
    </row>
    <row r="87" ht="15.75" customHeight="1">
      <c r="A87" s="3">
        <v>45012.0</v>
      </c>
      <c r="B87" s="4">
        <v>81070.0</v>
      </c>
      <c r="C87" s="8">
        <v>1086.0</v>
      </c>
      <c r="D87" s="5">
        <v>1357.92</v>
      </c>
      <c r="E87" s="4">
        <v>21.0</v>
      </c>
      <c r="F87" s="5">
        <v>2675.11</v>
      </c>
      <c r="G87" s="6"/>
      <c r="I87" s="5"/>
    </row>
    <row r="88" ht="15.75" customHeight="1">
      <c r="A88" s="3">
        <v>45013.0</v>
      </c>
      <c r="B88" s="4">
        <v>13535.0</v>
      </c>
      <c r="C88" s="4">
        <v>312.0</v>
      </c>
      <c r="D88" s="5">
        <v>425.21</v>
      </c>
      <c r="E88" s="4">
        <v>5.0</v>
      </c>
      <c r="F88" s="5">
        <v>999.26</v>
      </c>
      <c r="G88" s="6"/>
      <c r="I88" s="5"/>
    </row>
    <row r="89" ht="15.75" customHeight="1">
      <c r="A89" s="3">
        <v>45014.0</v>
      </c>
      <c r="B89" s="4">
        <v>74290.0</v>
      </c>
      <c r="C89" s="8">
        <v>2213.0</v>
      </c>
      <c r="D89" s="5">
        <v>3984.91</v>
      </c>
      <c r="E89" s="4">
        <v>33.0</v>
      </c>
      <c r="F89" s="5">
        <v>5622.72</v>
      </c>
      <c r="G89" s="6"/>
      <c r="I89" s="5"/>
    </row>
    <row r="90" ht="15.75" customHeight="1">
      <c r="A90" s="3">
        <v>45015.0</v>
      </c>
      <c r="B90" s="4">
        <v>57867.0</v>
      </c>
      <c r="C90" s="4">
        <v>758.0</v>
      </c>
      <c r="D90" s="5">
        <v>962.73</v>
      </c>
      <c r="E90" s="4">
        <v>12.0</v>
      </c>
      <c r="F90" s="5">
        <v>1342.52</v>
      </c>
      <c r="G90" s="6"/>
      <c r="I90" s="5"/>
    </row>
    <row r="91" ht="15.75" customHeight="1">
      <c r="A91" s="3">
        <v>45016.0</v>
      </c>
      <c r="B91" s="4">
        <v>52354.0</v>
      </c>
      <c r="C91" s="4">
        <v>696.0</v>
      </c>
      <c r="D91" s="5">
        <v>912.16</v>
      </c>
      <c r="E91" s="4">
        <v>14.0</v>
      </c>
      <c r="F91" s="5">
        <v>1643.15</v>
      </c>
      <c r="G91" s="6"/>
      <c r="I91" s="5"/>
    </row>
    <row r="92" ht="15.75" customHeight="1">
      <c r="A92" s="3">
        <v>45017.0</v>
      </c>
      <c r="B92" s="4">
        <v>70893.0</v>
      </c>
      <c r="C92" s="8">
        <v>1198.0</v>
      </c>
      <c r="D92" s="5">
        <v>1737.23</v>
      </c>
      <c r="E92" s="4">
        <v>25.0</v>
      </c>
      <c r="F92" s="5">
        <v>2628.49</v>
      </c>
      <c r="G92" s="6"/>
      <c r="I92" s="5"/>
    </row>
    <row r="93" ht="15.75" customHeight="1">
      <c r="A93" s="3">
        <v>45018.0</v>
      </c>
      <c r="B93" s="4">
        <v>90617.0</v>
      </c>
      <c r="C93" s="8">
        <v>1739.0</v>
      </c>
      <c r="D93" s="5">
        <v>3305.7</v>
      </c>
      <c r="E93" s="4">
        <v>42.0</v>
      </c>
      <c r="F93" s="5">
        <v>4555.27</v>
      </c>
      <c r="G93" s="6"/>
      <c r="I93" s="5"/>
    </row>
    <row r="94" ht="15.75" customHeight="1">
      <c r="A94" s="3">
        <v>45019.0</v>
      </c>
      <c r="B94" s="4">
        <v>27366.0</v>
      </c>
      <c r="C94" s="4">
        <v>325.0</v>
      </c>
      <c r="D94" s="5">
        <v>494.99</v>
      </c>
      <c r="E94" s="4">
        <v>7.0</v>
      </c>
      <c r="F94" s="5">
        <v>821.56</v>
      </c>
      <c r="G94" s="6"/>
      <c r="I94" s="5"/>
    </row>
    <row r="95" ht="15.75" customHeight="1">
      <c r="A95" s="3">
        <v>45020.0</v>
      </c>
      <c r="B95" s="4">
        <v>72668.0</v>
      </c>
      <c r="C95" s="8">
        <v>2172.0</v>
      </c>
      <c r="D95" s="5">
        <v>3020.15</v>
      </c>
      <c r="E95" s="4">
        <v>51.0</v>
      </c>
      <c r="F95" s="5">
        <v>6488.34</v>
      </c>
      <c r="G95" s="6"/>
      <c r="I95" s="5"/>
    </row>
    <row r="96" ht="15.75" customHeight="1">
      <c r="A96" s="3">
        <v>45021.0</v>
      </c>
      <c r="B96" s="4">
        <v>19183.0</v>
      </c>
      <c r="C96" s="4">
        <v>448.0</v>
      </c>
      <c r="D96" s="5">
        <v>763.09</v>
      </c>
      <c r="E96" s="4">
        <v>7.0</v>
      </c>
      <c r="F96" s="5">
        <v>723.42</v>
      </c>
      <c r="G96" s="6"/>
      <c r="I96" s="5"/>
    </row>
    <row r="97" ht="15.75" customHeight="1">
      <c r="A97" s="3">
        <v>45022.0</v>
      </c>
      <c r="B97" s="4">
        <v>95464.0</v>
      </c>
      <c r="C97" s="8">
        <v>1785.0</v>
      </c>
      <c r="D97" s="5">
        <v>2802.72</v>
      </c>
      <c r="E97" s="4">
        <v>32.0</v>
      </c>
      <c r="F97" s="5">
        <v>4959.94</v>
      </c>
      <c r="G97" s="6"/>
      <c r="I97" s="5"/>
    </row>
    <row r="98" ht="15.75" customHeight="1">
      <c r="A98" s="3">
        <v>45023.0</v>
      </c>
      <c r="B98" s="4">
        <v>81947.0</v>
      </c>
      <c r="C98" s="8">
        <v>2114.0</v>
      </c>
      <c r="D98" s="5">
        <v>3657.62</v>
      </c>
      <c r="E98" s="4">
        <v>43.0</v>
      </c>
      <c r="F98" s="5">
        <v>6520.93</v>
      </c>
      <c r="G98" s="6"/>
      <c r="I98" s="5"/>
    </row>
    <row r="99" ht="15.75" customHeight="1">
      <c r="A99" s="3">
        <v>45024.0</v>
      </c>
      <c r="B99" s="4">
        <v>82060.0</v>
      </c>
      <c r="C99" s="8">
        <v>1928.0</v>
      </c>
      <c r="D99" s="5">
        <v>3779.68</v>
      </c>
      <c r="E99" s="4">
        <v>29.0</v>
      </c>
      <c r="F99" s="5">
        <v>5627.87</v>
      </c>
      <c r="G99" s="6"/>
      <c r="I99" s="5"/>
    </row>
    <row r="100" ht="15.75" customHeight="1">
      <c r="A100" s="3">
        <v>45025.0</v>
      </c>
      <c r="B100" s="4">
        <v>56322.0</v>
      </c>
      <c r="C100" s="4">
        <v>597.0</v>
      </c>
      <c r="D100" s="5">
        <v>847.75</v>
      </c>
      <c r="E100" s="4">
        <v>12.0</v>
      </c>
      <c r="F100" s="5">
        <v>1322.5</v>
      </c>
      <c r="G100" s="6"/>
      <c r="I100" s="5"/>
    </row>
    <row r="101" ht="15.75" customHeight="1">
      <c r="A101" s="3">
        <v>45026.0</v>
      </c>
      <c r="B101" s="4">
        <v>49678.0</v>
      </c>
      <c r="C101" s="4">
        <v>869.0</v>
      </c>
      <c r="D101" s="5">
        <v>1130.17</v>
      </c>
      <c r="E101" s="4">
        <v>12.0</v>
      </c>
      <c r="F101" s="5">
        <v>1752.21</v>
      </c>
      <c r="G101" s="6"/>
      <c r="I101" s="5"/>
    </row>
    <row r="102" ht="15.75" customHeight="1">
      <c r="A102" s="3">
        <v>45027.0</v>
      </c>
      <c r="B102" s="4">
        <v>72964.0</v>
      </c>
      <c r="C102" s="8">
        <v>1955.0</v>
      </c>
      <c r="D102" s="5">
        <v>2600.72</v>
      </c>
      <c r="E102" s="4">
        <v>37.0</v>
      </c>
      <c r="F102" s="5">
        <v>7093.93</v>
      </c>
      <c r="G102" s="6"/>
      <c r="I102" s="5"/>
    </row>
    <row r="103" ht="15.75" customHeight="1">
      <c r="A103" s="3">
        <v>45028.0</v>
      </c>
      <c r="B103" s="4">
        <v>94115.0</v>
      </c>
      <c r="C103" s="8">
        <v>1665.0</v>
      </c>
      <c r="D103" s="5">
        <v>2048.97</v>
      </c>
      <c r="E103" s="4">
        <v>21.0</v>
      </c>
      <c r="F103" s="5">
        <v>2369.48</v>
      </c>
      <c r="G103" s="6"/>
      <c r="I103" s="5"/>
    </row>
    <row r="104" ht="15.75" customHeight="1">
      <c r="A104" s="3">
        <v>45029.0</v>
      </c>
      <c r="B104" s="4">
        <v>20642.0</v>
      </c>
      <c r="C104" s="4">
        <v>433.0</v>
      </c>
      <c r="D104" s="5">
        <v>732.58</v>
      </c>
      <c r="E104" s="4">
        <v>6.0</v>
      </c>
      <c r="F104" s="5">
        <v>907.06</v>
      </c>
      <c r="G104" s="6"/>
      <c r="I104" s="5"/>
    </row>
    <row r="105" ht="15.75" customHeight="1">
      <c r="A105" s="3">
        <v>45030.0</v>
      </c>
      <c r="B105" s="4">
        <v>79972.0</v>
      </c>
      <c r="C105" s="8">
        <v>1007.0</v>
      </c>
      <c r="D105" s="5">
        <v>1440.93</v>
      </c>
      <c r="E105" s="4">
        <v>21.0</v>
      </c>
      <c r="F105" s="5">
        <v>3289.77</v>
      </c>
      <c r="G105" s="6"/>
      <c r="I105" s="5"/>
    </row>
    <row r="106" ht="15.75" customHeight="1">
      <c r="A106" s="3">
        <v>45031.0</v>
      </c>
      <c r="B106" s="4">
        <v>93812.0</v>
      </c>
      <c r="C106" s="8">
        <v>1979.0</v>
      </c>
      <c r="D106" s="5">
        <v>3919.27</v>
      </c>
      <c r="E106" s="4">
        <v>36.0</v>
      </c>
      <c r="F106" s="5">
        <v>6085.57</v>
      </c>
      <c r="G106" s="6"/>
      <c r="I106" s="5"/>
    </row>
    <row r="107" ht="15.75" customHeight="1">
      <c r="A107" s="3">
        <v>45032.0</v>
      </c>
      <c r="B107" s="4">
        <v>22628.0</v>
      </c>
      <c r="C107" s="4">
        <v>359.0</v>
      </c>
      <c r="D107" s="5">
        <v>395.76</v>
      </c>
      <c r="E107" s="4">
        <v>8.0</v>
      </c>
      <c r="F107" s="5">
        <v>1309.91</v>
      </c>
      <c r="G107" s="6"/>
      <c r="I107" s="5"/>
    </row>
    <row r="108" ht="15.75" customHeight="1">
      <c r="A108" s="3">
        <v>45033.0</v>
      </c>
      <c r="B108" s="4">
        <v>87129.0</v>
      </c>
      <c r="C108" s="8">
        <v>1054.0</v>
      </c>
      <c r="D108" s="5">
        <v>1823.87</v>
      </c>
      <c r="E108" s="4">
        <v>20.0</v>
      </c>
      <c r="F108" s="5">
        <v>3558.76</v>
      </c>
      <c r="G108" s="6"/>
      <c r="I108" s="5"/>
    </row>
    <row r="109" ht="15.75" customHeight="1">
      <c r="A109" s="3">
        <v>45034.0</v>
      </c>
      <c r="B109" s="4">
        <v>95649.0</v>
      </c>
      <c r="C109" s="8">
        <v>1817.0</v>
      </c>
      <c r="D109" s="5">
        <v>2580.61</v>
      </c>
      <c r="E109" s="4">
        <v>45.0</v>
      </c>
      <c r="F109" s="5">
        <v>6199.46</v>
      </c>
      <c r="G109" s="6"/>
      <c r="I109" s="5"/>
    </row>
    <row r="110" ht="15.75" customHeight="1">
      <c r="A110" s="3">
        <v>45035.0</v>
      </c>
      <c r="B110" s="4">
        <v>21527.0</v>
      </c>
      <c r="C110" s="4">
        <v>398.0</v>
      </c>
      <c r="D110" s="5">
        <v>740.74</v>
      </c>
      <c r="E110" s="4">
        <v>4.0</v>
      </c>
      <c r="F110" s="5">
        <v>726.81</v>
      </c>
      <c r="G110" s="6"/>
      <c r="I110" s="5"/>
    </row>
    <row r="111" ht="15.75" customHeight="1">
      <c r="A111" s="3">
        <v>45036.0</v>
      </c>
      <c r="B111" s="4">
        <v>43354.0</v>
      </c>
      <c r="C111" s="4">
        <v>715.0</v>
      </c>
      <c r="D111" s="5">
        <v>1266.15</v>
      </c>
      <c r="E111" s="4">
        <v>17.0</v>
      </c>
      <c r="F111" s="5">
        <v>3273.11</v>
      </c>
      <c r="G111" s="6"/>
      <c r="I111" s="5"/>
    </row>
    <row r="112" ht="15.75" customHeight="1">
      <c r="A112" s="3">
        <v>45037.0</v>
      </c>
      <c r="B112" s="4">
        <v>84934.0</v>
      </c>
      <c r="C112" s="8">
        <v>2361.0</v>
      </c>
      <c r="D112" s="5">
        <v>3423.68</v>
      </c>
      <c r="E112" s="4">
        <v>56.0</v>
      </c>
      <c r="F112" s="5">
        <v>10002.84</v>
      </c>
      <c r="G112" s="6"/>
      <c r="I112" s="5"/>
    </row>
    <row r="113" ht="15.75" customHeight="1">
      <c r="A113" s="3">
        <v>45038.0</v>
      </c>
      <c r="B113" s="4">
        <v>84996.0</v>
      </c>
      <c r="C113" s="8">
        <v>1971.0</v>
      </c>
      <c r="D113" s="5">
        <v>3707.18</v>
      </c>
      <c r="E113" s="4">
        <v>27.0</v>
      </c>
      <c r="F113" s="5">
        <v>4615.45</v>
      </c>
      <c r="G113" s="6"/>
      <c r="I113" s="5"/>
    </row>
    <row r="114" ht="15.75" customHeight="1">
      <c r="A114" s="3">
        <v>45039.0</v>
      </c>
      <c r="B114" s="4">
        <v>83171.0</v>
      </c>
      <c r="C114" s="8">
        <v>2062.0</v>
      </c>
      <c r="D114" s="5">
        <v>2062.64</v>
      </c>
      <c r="E114" s="4">
        <v>40.0</v>
      </c>
      <c r="F114" s="5">
        <v>6023.74</v>
      </c>
      <c r="G114" s="6"/>
      <c r="I114" s="5"/>
    </row>
    <row r="115" ht="15.75" customHeight="1">
      <c r="A115" s="3">
        <v>45040.0</v>
      </c>
      <c r="B115" s="4">
        <v>95234.0</v>
      </c>
      <c r="C115" s="8">
        <v>1019.0</v>
      </c>
      <c r="D115" s="5">
        <v>1966.67</v>
      </c>
      <c r="E115" s="4">
        <v>25.0</v>
      </c>
      <c r="F115" s="5">
        <v>3885.46</v>
      </c>
      <c r="G115" s="6"/>
      <c r="I115" s="5"/>
    </row>
    <row r="116" ht="15.75" customHeight="1">
      <c r="A116" s="3">
        <v>45041.0</v>
      </c>
      <c r="B116" s="4">
        <v>45282.0</v>
      </c>
      <c r="C116" s="8">
        <v>1041.0</v>
      </c>
      <c r="D116" s="5">
        <v>2082.97</v>
      </c>
      <c r="E116" s="4">
        <v>25.0</v>
      </c>
      <c r="F116" s="5">
        <v>4501.82</v>
      </c>
      <c r="G116" s="6"/>
      <c r="I116" s="5"/>
    </row>
    <row r="117" ht="15.75" customHeight="1">
      <c r="A117" s="3">
        <v>45042.0</v>
      </c>
      <c r="B117" s="4">
        <v>77080.0</v>
      </c>
      <c r="C117" s="4">
        <v>963.0</v>
      </c>
      <c r="D117" s="5">
        <v>1734.3</v>
      </c>
      <c r="E117" s="4">
        <v>20.0</v>
      </c>
      <c r="F117" s="5">
        <v>3491.63</v>
      </c>
      <c r="G117" s="6"/>
      <c r="I117" s="5"/>
    </row>
    <row r="118" ht="15.75" customHeight="1">
      <c r="A118" s="3">
        <v>45043.0</v>
      </c>
      <c r="B118" s="4">
        <v>26490.0</v>
      </c>
      <c r="C118" s="4">
        <v>550.0</v>
      </c>
      <c r="D118" s="5">
        <v>1013.82</v>
      </c>
      <c r="E118" s="4">
        <v>9.0</v>
      </c>
      <c r="F118" s="5">
        <v>1207.33</v>
      </c>
      <c r="G118" s="6"/>
      <c r="I118" s="5"/>
    </row>
    <row r="119" ht="15.75" customHeight="1">
      <c r="A119" s="3">
        <v>45044.0</v>
      </c>
      <c r="B119" s="4">
        <v>62976.0</v>
      </c>
      <c r="C119" s="4">
        <v>699.0</v>
      </c>
      <c r="D119" s="5">
        <v>831.84</v>
      </c>
      <c r="E119" s="4">
        <v>13.0</v>
      </c>
      <c r="F119" s="5">
        <v>2278.85</v>
      </c>
      <c r="G119" s="6"/>
      <c r="I119" s="5"/>
    </row>
    <row r="120" ht="15.75" customHeight="1">
      <c r="A120" s="3">
        <v>45045.0</v>
      </c>
      <c r="B120" s="4">
        <v>40110.0</v>
      </c>
      <c r="C120" s="4">
        <v>842.0</v>
      </c>
      <c r="D120" s="5">
        <v>1103.42</v>
      </c>
      <c r="E120" s="4">
        <v>15.0</v>
      </c>
      <c r="F120" s="5">
        <v>2020.36</v>
      </c>
      <c r="G120" s="6"/>
      <c r="I120" s="5"/>
    </row>
    <row r="121" ht="15.75" customHeight="1">
      <c r="A121" s="3">
        <v>45046.0</v>
      </c>
      <c r="B121" s="4">
        <v>67890.0</v>
      </c>
      <c r="C121" s="8">
        <v>1357.0</v>
      </c>
      <c r="D121" s="5">
        <v>2335.41</v>
      </c>
      <c r="E121" s="4">
        <v>25.0</v>
      </c>
      <c r="F121" s="5">
        <v>3315.75</v>
      </c>
      <c r="G121" s="6"/>
      <c r="I121" s="5"/>
    </row>
    <row r="122" ht="15.75" customHeight="1">
      <c r="A122" s="3">
        <v>45047.0</v>
      </c>
      <c r="B122" s="4">
        <v>12671.0</v>
      </c>
      <c r="C122" s="4">
        <v>219.0</v>
      </c>
      <c r="D122" s="5">
        <v>326.62</v>
      </c>
      <c r="E122" s="4">
        <v>4.0</v>
      </c>
      <c r="F122" s="5">
        <v>591.86</v>
      </c>
      <c r="G122" s="6"/>
      <c r="I122" s="5"/>
    </row>
    <row r="123" ht="15.75" customHeight="1">
      <c r="A123" s="3">
        <v>45048.0</v>
      </c>
      <c r="B123" s="4">
        <v>94264.0</v>
      </c>
      <c r="C123" s="8">
        <v>1300.0</v>
      </c>
      <c r="D123" s="5">
        <v>1743.12</v>
      </c>
      <c r="E123" s="4">
        <v>24.0</v>
      </c>
      <c r="F123" s="5">
        <v>2690.14</v>
      </c>
      <c r="G123" s="6"/>
      <c r="I123" s="5"/>
    </row>
    <row r="124" ht="15.75" customHeight="1">
      <c r="A124" s="3">
        <v>45049.0</v>
      </c>
      <c r="B124" s="4">
        <v>59532.0</v>
      </c>
      <c r="C124" s="8">
        <v>1375.0</v>
      </c>
      <c r="D124" s="5">
        <v>2214.05</v>
      </c>
      <c r="E124" s="4">
        <v>27.0</v>
      </c>
      <c r="F124" s="5">
        <v>3538.09</v>
      </c>
      <c r="G124" s="6"/>
      <c r="I124" s="5"/>
    </row>
    <row r="125" ht="15.75" customHeight="1">
      <c r="A125" s="3">
        <v>45050.0</v>
      </c>
      <c r="B125" s="4">
        <v>51990.0</v>
      </c>
      <c r="C125" s="8">
        <v>1346.0</v>
      </c>
      <c r="D125" s="5">
        <v>2073.67</v>
      </c>
      <c r="E125" s="4">
        <v>28.0</v>
      </c>
      <c r="F125" s="5">
        <v>4637.49</v>
      </c>
      <c r="G125" s="6"/>
      <c r="I125" s="5"/>
    </row>
    <row r="126" ht="15.75" customHeight="1">
      <c r="A126" s="3">
        <v>45051.0</v>
      </c>
      <c r="B126" s="4">
        <v>88738.0</v>
      </c>
      <c r="C126" s="8">
        <v>1757.0</v>
      </c>
      <c r="D126" s="5">
        <v>3057.2</v>
      </c>
      <c r="E126" s="4">
        <v>43.0</v>
      </c>
      <c r="F126" s="5">
        <v>7262.44</v>
      </c>
      <c r="G126" s="6"/>
      <c r="I126" s="5"/>
    </row>
    <row r="127" ht="15.75" customHeight="1">
      <c r="A127" s="3">
        <v>45052.0</v>
      </c>
      <c r="B127" s="4">
        <v>50381.0</v>
      </c>
      <c r="C127" s="4">
        <v>911.0</v>
      </c>
      <c r="D127" s="5">
        <v>966.6</v>
      </c>
      <c r="E127" s="4">
        <v>17.0</v>
      </c>
      <c r="F127" s="5">
        <v>2748.82</v>
      </c>
      <c r="G127" s="6"/>
      <c r="I127" s="5"/>
    </row>
    <row r="128" ht="15.75" customHeight="1">
      <c r="A128" s="3">
        <v>45053.0</v>
      </c>
      <c r="B128" s="4">
        <v>70628.0</v>
      </c>
      <c r="C128" s="8">
        <v>1808.0</v>
      </c>
      <c r="D128" s="5">
        <v>3561.91</v>
      </c>
      <c r="E128" s="4">
        <v>26.0</v>
      </c>
      <c r="F128" s="5">
        <v>2997.07</v>
      </c>
      <c r="G128" s="6"/>
      <c r="I128" s="5"/>
    </row>
    <row r="129" ht="15.75" customHeight="1">
      <c r="A129" s="3">
        <v>45054.0</v>
      </c>
      <c r="B129" s="4">
        <v>22138.0</v>
      </c>
      <c r="C129" s="4">
        <v>456.0</v>
      </c>
      <c r="D129" s="5">
        <v>574.61</v>
      </c>
      <c r="E129" s="4">
        <v>6.0</v>
      </c>
      <c r="F129" s="5">
        <v>979.94</v>
      </c>
      <c r="G129" s="6"/>
      <c r="I129" s="5"/>
    </row>
    <row r="130" ht="15.75" customHeight="1">
      <c r="A130" s="3">
        <v>45055.0</v>
      </c>
      <c r="B130" s="4">
        <v>78604.0</v>
      </c>
      <c r="C130" s="8">
        <v>1965.0</v>
      </c>
      <c r="D130" s="5">
        <v>2397.42</v>
      </c>
      <c r="E130" s="4">
        <v>45.0</v>
      </c>
      <c r="F130" s="5">
        <v>6809.07</v>
      </c>
      <c r="G130" s="6"/>
      <c r="I130" s="5"/>
    </row>
    <row r="131" ht="15.75" customHeight="1">
      <c r="A131" s="3">
        <v>45056.0</v>
      </c>
      <c r="B131" s="4">
        <v>68678.0</v>
      </c>
      <c r="C131" s="8">
        <v>1936.0</v>
      </c>
      <c r="D131" s="5">
        <v>3776.6</v>
      </c>
      <c r="E131" s="4">
        <v>40.0</v>
      </c>
      <c r="F131" s="5">
        <v>5813.06</v>
      </c>
      <c r="G131" s="6"/>
      <c r="I131" s="5"/>
    </row>
    <row r="132" ht="15.75" customHeight="1">
      <c r="A132" s="3">
        <v>45057.0</v>
      </c>
      <c r="B132" s="4">
        <v>10897.0</v>
      </c>
      <c r="C132" s="4">
        <v>232.0</v>
      </c>
      <c r="D132" s="5">
        <v>461.89</v>
      </c>
      <c r="E132" s="4">
        <v>4.0</v>
      </c>
      <c r="F132" s="5">
        <v>447.78</v>
      </c>
      <c r="G132" s="6"/>
      <c r="I132" s="5"/>
    </row>
    <row r="133" ht="15.75" customHeight="1">
      <c r="A133" s="3">
        <v>45058.0</v>
      </c>
      <c r="B133" s="4">
        <v>29715.0</v>
      </c>
      <c r="C133" s="4">
        <v>763.0</v>
      </c>
      <c r="D133" s="5">
        <v>1290.61</v>
      </c>
      <c r="E133" s="4">
        <v>11.0</v>
      </c>
      <c r="F133" s="5">
        <v>2358.84</v>
      </c>
      <c r="G133" s="6"/>
      <c r="I133" s="5"/>
    </row>
    <row r="134" ht="15.75" customHeight="1">
      <c r="A134" s="3">
        <v>45059.0</v>
      </c>
      <c r="B134" s="4">
        <v>44675.0</v>
      </c>
      <c r="C134" s="4">
        <v>768.0</v>
      </c>
      <c r="D134" s="5">
        <v>1068.08</v>
      </c>
      <c r="E134" s="4">
        <v>13.0</v>
      </c>
      <c r="F134" s="5">
        <v>1734.69</v>
      </c>
      <c r="G134" s="6"/>
      <c r="I134" s="5"/>
    </row>
    <row r="135" ht="15.75" customHeight="1">
      <c r="A135" s="3">
        <v>45060.0</v>
      </c>
      <c r="B135" s="4">
        <v>98876.0</v>
      </c>
      <c r="C135" s="8">
        <v>1522.0</v>
      </c>
      <c r="D135" s="5">
        <v>2969.24</v>
      </c>
      <c r="E135" s="4">
        <v>20.0</v>
      </c>
      <c r="F135" s="5">
        <v>2127.81</v>
      </c>
      <c r="G135" s="6"/>
      <c r="I135" s="5"/>
    </row>
    <row r="136" ht="15.75" customHeight="1">
      <c r="A136" s="3">
        <v>45061.0</v>
      </c>
      <c r="B136" s="4">
        <v>17231.0</v>
      </c>
      <c r="C136" s="4">
        <v>349.0</v>
      </c>
      <c r="D136" s="5">
        <v>360.28</v>
      </c>
      <c r="E136" s="4">
        <v>8.0</v>
      </c>
      <c r="F136" s="5">
        <v>920.65</v>
      </c>
      <c r="G136" s="6"/>
      <c r="I136" s="5"/>
    </row>
    <row r="137" ht="15.75" customHeight="1">
      <c r="A137" s="3">
        <v>45062.0</v>
      </c>
      <c r="B137" s="4">
        <v>58192.0</v>
      </c>
      <c r="C137" s="8">
        <v>1187.0</v>
      </c>
      <c r="D137" s="5">
        <v>1483.89</v>
      </c>
      <c r="E137" s="4">
        <v>29.0</v>
      </c>
      <c r="F137" s="5">
        <v>4689.11</v>
      </c>
      <c r="G137" s="6"/>
      <c r="I137" s="5"/>
    </row>
    <row r="138" ht="15.75" customHeight="1">
      <c r="A138" s="3">
        <v>45063.0</v>
      </c>
      <c r="B138" s="4">
        <v>46401.0</v>
      </c>
      <c r="C138" s="4">
        <v>969.0</v>
      </c>
      <c r="D138" s="5">
        <v>1299.5</v>
      </c>
      <c r="E138" s="4">
        <v>15.0</v>
      </c>
      <c r="F138" s="5">
        <v>1955.08</v>
      </c>
      <c r="G138" s="6"/>
      <c r="I138" s="5"/>
    </row>
    <row r="139" ht="15.75" customHeight="1">
      <c r="A139" s="3">
        <v>45064.0</v>
      </c>
      <c r="B139" s="4">
        <v>92964.0</v>
      </c>
      <c r="C139" s="8">
        <v>1422.0</v>
      </c>
      <c r="D139" s="5">
        <v>2474.88</v>
      </c>
      <c r="E139" s="4">
        <v>34.0</v>
      </c>
      <c r="F139" s="5">
        <v>5772.04</v>
      </c>
      <c r="G139" s="6"/>
      <c r="I139" s="5"/>
    </row>
    <row r="140" ht="15.75" customHeight="1">
      <c r="A140" s="3">
        <v>45065.0</v>
      </c>
      <c r="B140" s="4">
        <v>65281.0</v>
      </c>
      <c r="C140" s="8">
        <v>1827.0</v>
      </c>
      <c r="D140" s="5">
        <v>2412.78</v>
      </c>
      <c r="E140" s="4">
        <v>42.0</v>
      </c>
      <c r="F140" s="5">
        <v>6657.83</v>
      </c>
      <c r="G140" s="6"/>
      <c r="I140" s="5"/>
    </row>
    <row r="141" ht="15.75" customHeight="1">
      <c r="A141" s="3">
        <v>45066.0</v>
      </c>
      <c r="B141" s="4">
        <v>80391.0</v>
      </c>
      <c r="C141" s="4">
        <v>819.0</v>
      </c>
      <c r="D141" s="5">
        <v>992.18</v>
      </c>
      <c r="E141" s="4">
        <v>11.0</v>
      </c>
      <c r="F141" s="5">
        <v>1185.37</v>
      </c>
      <c r="G141" s="6"/>
      <c r="I141" s="5"/>
    </row>
    <row r="142" ht="15.75" customHeight="1">
      <c r="A142" s="3">
        <v>45067.0</v>
      </c>
      <c r="B142" s="4">
        <v>88277.0</v>
      </c>
      <c r="C142" s="8">
        <v>1129.0</v>
      </c>
      <c r="D142" s="5">
        <v>1627.12</v>
      </c>
      <c r="E142" s="4">
        <v>25.0</v>
      </c>
      <c r="F142" s="5">
        <v>4606.56</v>
      </c>
      <c r="G142" s="6"/>
      <c r="I142" s="5"/>
    </row>
    <row r="143" ht="15.75" customHeight="1">
      <c r="A143" s="3">
        <v>45068.0</v>
      </c>
      <c r="B143" s="4">
        <v>60190.0</v>
      </c>
      <c r="C143" s="4">
        <v>625.0</v>
      </c>
      <c r="D143" s="5">
        <v>1214.39</v>
      </c>
      <c r="E143" s="4">
        <v>14.0</v>
      </c>
      <c r="F143" s="5">
        <v>2140.09</v>
      </c>
      <c r="G143" s="6"/>
      <c r="I143" s="5"/>
    </row>
    <row r="144" ht="15.75" customHeight="1">
      <c r="A144" s="3">
        <v>45069.0</v>
      </c>
      <c r="B144" s="4">
        <v>74681.0</v>
      </c>
      <c r="C144" s="8">
        <v>1112.0</v>
      </c>
      <c r="D144" s="5">
        <v>1780.39</v>
      </c>
      <c r="E144" s="4">
        <v>19.0</v>
      </c>
      <c r="F144" s="5">
        <v>3310.87</v>
      </c>
      <c r="G144" s="6"/>
      <c r="I144" s="5"/>
    </row>
    <row r="145" ht="15.75" customHeight="1">
      <c r="A145" s="3">
        <v>45070.0</v>
      </c>
      <c r="B145" s="4">
        <v>87812.0</v>
      </c>
      <c r="C145" s="8">
        <v>1001.0</v>
      </c>
      <c r="D145" s="5">
        <v>1471.55</v>
      </c>
      <c r="E145" s="4">
        <v>17.0</v>
      </c>
      <c r="F145" s="5">
        <v>2575.22</v>
      </c>
      <c r="G145" s="6"/>
      <c r="I145" s="5"/>
    </row>
    <row r="146" ht="15.75" customHeight="1">
      <c r="A146" s="3">
        <v>45071.0</v>
      </c>
      <c r="B146" s="4">
        <v>67385.0</v>
      </c>
      <c r="C146" s="8">
        <v>1886.0</v>
      </c>
      <c r="D146" s="5">
        <v>3396.2</v>
      </c>
      <c r="E146" s="4">
        <v>26.0</v>
      </c>
      <c r="F146" s="5">
        <v>3591.49</v>
      </c>
      <c r="G146" s="6"/>
      <c r="I146" s="5"/>
    </row>
    <row r="147" ht="15.75" customHeight="1">
      <c r="A147" s="3">
        <v>45072.0</v>
      </c>
      <c r="B147" s="4">
        <v>74469.0</v>
      </c>
      <c r="C147" s="8">
        <v>1928.0</v>
      </c>
      <c r="D147" s="5">
        <v>3799.63</v>
      </c>
      <c r="E147" s="4">
        <v>41.0</v>
      </c>
      <c r="F147" s="5">
        <v>6356.38</v>
      </c>
      <c r="G147" s="6"/>
      <c r="I147" s="5"/>
    </row>
    <row r="148" ht="15.75" customHeight="1">
      <c r="A148" s="3">
        <v>45073.0</v>
      </c>
      <c r="B148" s="4">
        <v>32768.0</v>
      </c>
      <c r="C148" s="4">
        <v>691.0</v>
      </c>
      <c r="D148" s="5">
        <v>898.82</v>
      </c>
      <c r="E148" s="4">
        <v>9.0</v>
      </c>
      <c r="F148" s="5">
        <v>1717.45</v>
      </c>
      <c r="G148" s="6"/>
      <c r="I148" s="5"/>
    </row>
    <row r="149" ht="15.75" customHeight="1">
      <c r="A149" s="3">
        <v>45074.0</v>
      </c>
      <c r="B149" s="4">
        <v>76936.0</v>
      </c>
      <c r="C149" s="8">
        <v>2100.0</v>
      </c>
      <c r="D149" s="5">
        <v>3591.6</v>
      </c>
      <c r="E149" s="4">
        <v>46.0</v>
      </c>
      <c r="F149" s="5">
        <v>8363.6</v>
      </c>
      <c r="G149" s="6"/>
      <c r="I149" s="5"/>
    </row>
    <row r="150" ht="15.75" customHeight="1">
      <c r="A150" s="3">
        <v>45075.0</v>
      </c>
      <c r="B150" s="4">
        <v>59774.0</v>
      </c>
      <c r="C150" s="8">
        <v>1267.0</v>
      </c>
      <c r="D150" s="5">
        <v>1267.2</v>
      </c>
      <c r="E150" s="4">
        <v>30.0</v>
      </c>
      <c r="F150" s="5">
        <v>3833.31</v>
      </c>
      <c r="G150" s="6"/>
      <c r="I150" s="5"/>
    </row>
    <row r="151" ht="15.75" customHeight="1">
      <c r="A151" s="3">
        <v>45076.0</v>
      </c>
      <c r="B151" s="4">
        <v>41440.0</v>
      </c>
      <c r="C151" s="8">
        <v>1152.0</v>
      </c>
      <c r="D151" s="5">
        <v>2073.65</v>
      </c>
      <c r="E151" s="4">
        <v>20.0</v>
      </c>
      <c r="F151" s="5">
        <v>3855.16</v>
      </c>
      <c r="G151" s="6"/>
      <c r="I151" s="5"/>
    </row>
    <row r="152" ht="15.75" customHeight="1">
      <c r="A152" s="3">
        <v>45077.0</v>
      </c>
      <c r="B152" s="4">
        <v>23140.0</v>
      </c>
      <c r="C152" s="4">
        <v>310.0</v>
      </c>
      <c r="D152" s="5">
        <v>403.09</v>
      </c>
      <c r="E152" s="4">
        <v>4.0</v>
      </c>
      <c r="F152" s="5">
        <v>656.49</v>
      </c>
      <c r="G152" s="6"/>
      <c r="I152" s="5"/>
    </row>
    <row r="153" ht="15.75" customHeight="1">
      <c r="A153" s="3">
        <v>45078.0</v>
      </c>
      <c r="B153" s="4">
        <v>53053.0</v>
      </c>
      <c r="C153" s="8">
        <v>1183.0</v>
      </c>
      <c r="D153" s="5">
        <v>1301.39</v>
      </c>
      <c r="E153" s="4">
        <v>20.0</v>
      </c>
      <c r="F153" s="5">
        <v>2701.33</v>
      </c>
      <c r="G153" s="6"/>
      <c r="I153" s="5"/>
    </row>
    <row r="154" ht="15.75" customHeight="1">
      <c r="A154" s="3">
        <v>45079.0</v>
      </c>
      <c r="B154" s="4">
        <v>95715.0</v>
      </c>
      <c r="C154" s="8">
        <v>1713.0</v>
      </c>
      <c r="D154" s="5">
        <v>3289.53</v>
      </c>
      <c r="E154" s="4">
        <v>39.0</v>
      </c>
      <c r="F154" s="5">
        <v>4257.89</v>
      </c>
      <c r="G154" s="6"/>
      <c r="I154" s="5"/>
    </row>
    <row r="155" ht="15.75" customHeight="1">
      <c r="A155" s="3">
        <v>45080.0</v>
      </c>
      <c r="B155" s="4">
        <v>26361.0</v>
      </c>
      <c r="C155" s="4">
        <v>550.0</v>
      </c>
      <c r="D155" s="5">
        <v>1013.73</v>
      </c>
      <c r="E155" s="4">
        <v>13.0</v>
      </c>
      <c r="F155" s="5">
        <v>2500.41</v>
      </c>
      <c r="G155" s="6"/>
      <c r="I155" s="5"/>
    </row>
    <row r="156" ht="15.75" customHeight="1">
      <c r="A156" s="3">
        <v>45081.0</v>
      </c>
      <c r="B156" s="4">
        <v>55684.0</v>
      </c>
      <c r="C156" s="8">
        <v>1219.0</v>
      </c>
      <c r="D156" s="5">
        <v>2060.92</v>
      </c>
      <c r="E156" s="4">
        <v>30.0</v>
      </c>
      <c r="F156" s="5">
        <v>3326.74</v>
      </c>
      <c r="G156" s="6"/>
      <c r="I156" s="5"/>
    </row>
    <row r="157" ht="15.75" customHeight="1">
      <c r="A157" s="3">
        <v>45082.0</v>
      </c>
      <c r="B157" s="4">
        <v>66949.0</v>
      </c>
      <c r="C157" s="8">
        <v>1988.0</v>
      </c>
      <c r="D157" s="5">
        <v>2167.33</v>
      </c>
      <c r="E157" s="4">
        <v>40.0</v>
      </c>
      <c r="F157" s="5">
        <v>5079.13</v>
      </c>
      <c r="G157" s="6"/>
      <c r="I157" s="5"/>
    </row>
    <row r="158" ht="15.75" customHeight="1">
      <c r="A158" s="3">
        <v>45083.0</v>
      </c>
      <c r="B158" s="4">
        <v>76208.0</v>
      </c>
      <c r="C158" s="8">
        <v>1364.0</v>
      </c>
      <c r="D158" s="5">
        <v>2578.19</v>
      </c>
      <c r="E158" s="4">
        <v>28.0</v>
      </c>
      <c r="F158" s="5">
        <v>3051.0</v>
      </c>
      <c r="G158" s="6"/>
      <c r="I158" s="5"/>
    </row>
    <row r="159" ht="15.75" customHeight="1">
      <c r="A159" s="3">
        <v>45084.0</v>
      </c>
      <c r="B159" s="4">
        <v>72025.0</v>
      </c>
      <c r="C159" s="8">
        <v>1577.0</v>
      </c>
      <c r="D159" s="5">
        <v>2082.09</v>
      </c>
      <c r="E159" s="4">
        <v>35.0</v>
      </c>
      <c r="F159" s="5">
        <v>6960.52</v>
      </c>
      <c r="G159" s="6"/>
      <c r="I159" s="5"/>
    </row>
    <row r="160" ht="15.75" customHeight="1">
      <c r="A160" s="3">
        <v>45085.0</v>
      </c>
      <c r="B160" s="4">
        <v>91551.0</v>
      </c>
      <c r="C160" s="8">
        <v>2087.0</v>
      </c>
      <c r="D160" s="5">
        <v>2671.82</v>
      </c>
      <c r="E160" s="4">
        <v>35.0</v>
      </c>
      <c r="F160" s="5">
        <v>6710.45</v>
      </c>
      <c r="G160" s="6"/>
      <c r="I160" s="5"/>
    </row>
    <row r="161" ht="15.75" customHeight="1">
      <c r="A161" s="3">
        <v>45086.0</v>
      </c>
      <c r="B161" s="4">
        <v>43530.0</v>
      </c>
      <c r="C161" s="4">
        <v>622.0</v>
      </c>
      <c r="D161" s="5">
        <v>890.14</v>
      </c>
      <c r="E161" s="4">
        <v>8.0</v>
      </c>
      <c r="F161" s="5">
        <v>1125.69</v>
      </c>
      <c r="G161" s="6"/>
      <c r="I161" s="5"/>
    </row>
    <row r="162" ht="15.75" customHeight="1">
      <c r="A162" s="3">
        <v>45087.0</v>
      </c>
      <c r="B162" s="4">
        <v>86963.0</v>
      </c>
      <c r="C162" s="8">
        <v>2304.0</v>
      </c>
      <c r="D162" s="5">
        <v>2465.83</v>
      </c>
      <c r="E162" s="4">
        <v>30.0</v>
      </c>
      <c r="F162" s="5">
        <v>4076.46</v>
      </c>
      <c r="G162" s="6"/>
      <c r="I162" s="5"/>
    </row>
    <row r="163" ht="15.75" customHeight="1">
      <c r="A163" s="3">
        <v>45088.0</v>
      </c>
      <c r="B163" s="4">
        <v>87979.0</v>
      </c>
      <c r="C163" s="8">
        <v>1205.0</v>
      </c>
      <c r="D163" s="5">
        <v>1446.37</v>
      </c>
      <c r="E163" s="4">
        <v>15.0</v>
      </c>
      <c r="F163" s="5">
        <v>2768.36</v>
      </c>
      <c r="G163" s="6"/>
      <c r="I163" s="5"/>
    </row>
    <row r="164" ht="15.75" customHeight="1">
      <c r="A164" s="3">
        <v>45089.0</v>
      </c>
      <c r="B164" s="4">
        <v>19976.0</v>
      </c>
      <c r="C164" s="4">
        <v>423.0</v>
      </c>
      <c r="D164" s="5">
        <v>436.19</v>
      </c>
      <c r="E164" s="4">
        <v>8.0</v>
      </c>
      <c r="F164" s="5">
        <v>1471.04</v>
      </c>
      <c r="G164" s="6"/>
      <c r="I164" s="5"/>
    </row>
    <row r="165" ht="15.75" customHeight="1">
      <c r="A165" s="3">
        <v>45090.0</v>
      </c>
      <c r="B165" s="4">
        <v>44371.0</v>
      </c>
      <c r="C165" s="8">
        <v>1255.0</v>
      </c>
      <c r="D165" s="5">
        <v>2385.82</v>
      </c>
      <c r="E165" s="4">
        <v>30.0</v>
      </c>
      <c r="F165" s="5">
        <v>4818.87</v>
      </c>
      <c r="G165" s="6"/>
      <c r="I165" s="5"/>
    </row>
    <row r="166" ht="15.75" customHeight="1">
      <c r="A166" s="3">
        <v>45091.0</v>
      </c>
      <c r="B166" s="4">
        <v>61532.0</v>
      </c>
      <c r="C166" s="8">
        <v>1267.0</v>
      </c>
      <c r="D166" s="5">
        <v>1445.01</v>
      </c>
      <c r="E166" s="4">
        <v>21.0</v>
      </c>
      <c r="F166" s="5">
        <v>3684.03</v>
      </c>
      <c r="G166" s="6"/>
      <c r="I166" s="5"/>
    </row>
    <row r="167" ht="15.75" customHeight="1">
      <c r="A167" s="3">
        <v>45092.0</v>
      </c>
      <c r="B167" s="4">
        <v>78483.0</v>
      </c>
      <c r="C167" s="8">
        <v>2079.0</v>
      </c>
      <c r="D167" s="5">
        <v>2620.54</v>
      </c>
      <c r="E167" s="4">
        <v>51.0</v>
      </c>
      <c r="F167" s="5">
        <v>9144.05</v>
      </c>
      <c r="G167" s="6"/>
      <c r="I167" s="5"/>
    </row>
    <row r="168" ht="15.75" customHeight="1">
      <c r="A168" s="3">
        <v>45093.0</v>
      </c>
      <c r="B168" s="4">
        <v>93791.0</v>
      </c>
      <c r="C168" s="8">
        <v>2729.0</v>
      </c>
      <c r="D168" s="5">
        <v>5131.11</v>
      </c>
      <c r="E168" s="4">
        <v>44.0</v>
      </c>
      <c r="F168" s="5">
        <v>6937.93</v>
      </c>
      <c r="G168" s="6"/>
      <c r="I168" s="5"/>
    </row>
    <row r="169" ht="15.75" customHeight="1">
      <c r="A169" s="3">
        <v>45094.0</v>
      </c>
      <c r="B169" s="4">
        <v>28076.0</v>
      </c>
      <c r="C169" s="4">
        <v>505.0</v>
      </c>
      <c r="D169" s="5">
        <v>651.92</v>
      </c>
      <c r="E169" s="4">
        <v>6.0</v>
      </c>
      <c r="F169" s="5">
        <v>1199.54</v>
      </c>
      <c r="G169" s="6"/>
      <c r="I169" s="5"/>
    </row>
    <row r="170" ht="15.75" customHeight="1">
      <c r="A170" s="3">
        <v>45095.0</v>
      </c>
      <c r="B170" s="4">
        <v>32284.0</v>
      </c>
      <c r="C170" s="4">
        <v>345.0</v>
      </c>
      <c r="D170" s="5">
        <v>677.06</v>
      </c>
      <c r="E170" s="4">
        <v>6.0</v>
      </c>
      <c r="F170" s="5">
        <v>879.21</v>
      </c>
      <c r="G170" s="6"/>
      <c r="I170" s="5"/>
    </row>
    <row r="171" ht="15.75" customHeight="1">
      <c r="A171" s="3">
        <v>45096.0</v>
      </c>
      <c r="B171" s="4">
        <v>46812.0</v>
      </c>
      <c r="C171" s="8">
        <v>1156.0</v>
      </c>
      <c r="D171" s="5">
        <v>1410.63</v>
      </c>
      <c r="E171" s="4">
        <v>16.0</v>
      </c>
      <c r="F171" s="5">
        <v>2934.58</v>
      </c>
      <c r="G171" s="6"/>
      <c r="I171" s="5"/>
    </row>
    <row r="172" ht="15.75" customHeight="1">
      <c r="A172" s="3">
        <v>45097.0</v>
      </c>
      <c r="B172" s="4">
        <v>57004.0</v>
      </c>
      <c r="C172" s="8">
        <v>1339.0</v>
      </c>
      <c r="D172" s="5">
        <v>2237.12</v>
      </c>
      <c r="E172" s="4">
        <v>32.0</v>
      </c>
      <c r="F172" s="5">
        <v>5617.45</v>
      </c>
      <c r="G172" s="6"/>
      <c r="I172" s="5"/>
    </row>
    <row r="173" ht="15.75" customHeight="1">
      <c r="A173" s="3">
        <v>45098.0</v>
      </c>
      <c r="B173" s="4">
        <v>73312.0</v>
      </c>
      <c r="C173" s="8">
        <v>2045.0</v>
      </c>
      <c r="D173" s="5">
        <v>3518.09</v>
      </c>
      <c r="E173" s="4">
        <v>40.0</v>
      </c>
      <c r="F173" s="5">
        <v>6648.59</v>
      </c>
      <c r="G173" s="6"/>
      <c r="I173" s="5"/>
    </row>
    <row r="174" ht="15.75" customHeight="1">
      <c r="A174" s="3">
        <v>45099.0</v>
      </c>
      <c r="B174" s="4">
        <v>76451.0</v>
      </c>
      <c r="C174" s="8">
        <v>2262.0</v>
      </c>
      <c r="D174" s="5">
        <v>4005.42</v>
      </c>
      <c r="E174" s="4">
        <v>38.0</v>
      </c>
      <c r="F174" s="5">
        <v>6036.64</v>
      </c>
      <c r="G174" s="6"/>
      <c r="I174" s="5"/>
    </row>
    <row r="175" ht="15.75" customHeight="1">
      <c r="A175" s="3">
        <v>45100.0</v>
      </c>
      <c r="B175" s="4">
        <v>67806.0</v>
      </c>
      <c r="C175" s="4">
        <v>949.0</v>
      </c>
      <c r="D175" s="5">
        <v>1870.08</v>
      </c>
      <c r="E175" s="4">
        <v>23.0</v>
      </c>
      <c r="F175" s="5">
        <v>3758.31</v>
      </c>
      <c r="G175" s="6"/>
      <c r="I175" s="5"/>
    </row>
    <row r="176" ht="15.75" customHeight="1">
      <c r="A176" s="3">
        <v>45101.0</v>
      </c>
      <c r="B176" s="4">
        <v>70975.0</v>
      </c>
      <c r="C176" s="4">
        <v>802.0</v>
      </c>
      <c r="D176" s="5">
        <v>1531.85</v>
      </c>
      <c r="E176" s="4">
        <v>16.0</v>
      </c>
      <c r="F176" s="5">
        <v>2208.52</v>
      </c>
      <c r="G176" s="6"/>
      <c r="I176" s="5"/>
    </row>
    <row r="177" ht="15.75" customHeight="1">
      <c r="A177" s="3">
        <v>45102.0</v>
      </c>
      <c r="B177" s="4">
        <v>29461.0</v>
      </c>
      <c r="C177" s="4">
        <v>450.0</v>
      </c>
      <c r="D177" s="5">
        <v>649.08</v>
      </c>
      <c r="E177" s="4">
        <v>8.0</v>
      </c>
      <c r="F177" s="5">
        <v>1515.93</v>
      </c>
      <c r="G177" s="6"/>
      <c r="I177" s="5"/>
    </row>
    <row r="178" ht="15.75" customHeight="1">
      <c r="A178" s="3">
        <v>45103.0</v>
      </c>
      <c r="B178" s="4">
        <v>74614.0</v>
      </c>
      <c r="C178" s="8">
        <v>1283.0</v>
      </c>
      <c r="D178" s="5">
        <v>2168.87</v>
      </c>
      <c r="E178" s="4">
        <v>29.0</v>
      </c>
      <c r="F178" s="5">
        <v>4257.68</v>
      </c>
      <c r="G178" s="6"/>
      <c r="I178" s="5"/>
    </row>
    <row r="179" ht="15.75" customHeight="1">
      <c r="A179" s="3">
        <v>45104.0</v>
      </c>
      <c r="B179" s="4">
        <v>28898.0</v>
      </c>
      <c r="C179" s="4">
        <v>780.0</v>
      </c>
      <c r="D179" s="5">
        <v>1303.01</v>
      </c>
      <c r="E179" s="4">
        <v>15.0</v>
      </c>
      <c r="F179" s="5">
        <v>2316.86</v>
      </c>
      <c r="G179" s="6"/>
      <c r="I179" s="5"/>
    </row>
    <row r="180" ht="15.75" customHeight="1">
      <c r="A180" s="3">
        <v>45105.0</v>
      </c>
      <c r="B180" s="4">
        <v>25283.0</v>
      </c>
      <c r="C180" s="4">
        <v>485.0</v>
      </c>
      <c r="D180" s="5">
        <v>868.92</v>
      </c>
      <c r="E180" s="4">
        <v>9.0</v>
      </c>
      <c r="F180" s="5">
        <v>1495.48</v>
      </c>
      <c r="G180" s="6"/>
      <c r="I180" s="5"/>
    </row>
    <row r="181" ht="15.75" customHeight="1">
      <c r="A181" s="3">
        <v>45106.0</v>
      </c>
      <c r="B181" s="4">
        <v>28922.0</v>
      </c>
      <c r="C181" s="4">
        <v>407.0</v>
      </c>
      <c r="D181" s="5">
        <v>485.28</v>
      </c>
      <c r="E181" s="4">
        <v>9.0</v>
      </c>
      <c r="F181" s="5">
        <v>1370.21</v>
      </c>
      <c r="G181" s="6"/>
      <c r="I181" s="5"/>
    </row>
    <row r="182" ht="15.75" customHeight="1">
      <c r="A182" s="3">
        <v>45107.0</v>
      </c>
      <c r="B182" s="4">
        <v>40708.0</v>
      </c>
      <c r="C182" s="4">
        <v>907.0</v>
      </c>
      <c r="D182" s="5">
        <v>1752.03</v>
      </c>
      <c r="E182" s="4">
        <v>16.0</v>
      </c>
      <c r="F182" s="5">
        <v>2474.45</v>
      </c>
      <c r="G182" s="6"/>
      <c r="I182" s="5"/>
    </row>
    <row r="183" ht="15.75" customHeight="1">
      <c r="A183" s="3">
        <v>45108.0</v>
      </c>
      <c r="B183" s="4">
        <v>82221.0</v>
      </c>
      <c r="C183" s="8">
        <v>2376.0</v>
      </c>
      <c r="D183" s="5">
        <v>3445.47</v>
      </c>
      <c r="E183" s="4">
        <v>45.0</v>
      </c>
      <c r="F183" s="5">
        <v>8621.76</v>
      </c>
      <c r="G183" s="6"/>
      <c r="I183" s="5"/>
    </row>
    <row r="184" ht="15.75" customHeight="1">
      <c r="A184" s="3">
        <v>45109.0</v>
      </c>
      <c r="B184" s="4">
        <v>25683.0</v>
      </c>
      <c r="C184" s="4">
        <v>696.0</v>
      </c>
      <c r="D184" s="5">
        <v>723.84</v>
      </c>
      <c r="E184" s="4">
        <v>14.0</v>
      </c>
      <c r="F184" s="5">
        <v>2525.96</v>
      </c>
      <c r="G184" s="6"/>
      <c r="I184" s="5"/>
    </row>
    <row r="185" ht="15.75" customHeight="1">
      <c r="A185" s="3">
        <v>45110.0</v>
      </c>
      <c r="B185" s="4">
        <v>63264.0</v>
      </c>
      <c r="C185" s="8">
        <v>1252.0</v>
      </c>
      <c r="D185" s="5">
        <v>2329.88</v>
      </c>
      <c r="E185" s="4">
        <v>16.0</v>
      </c>
      <c r="F185" s="5">
        <v>2395.77</v>
      </c>
      <c r="G185" s="6"/>
      <c r="I185" s="5"/>
    </row>
    <row r="186" ht="15.75" customHeight="1">
      <c r="A186" s="3">
        <v>45111.0</v>
      </c>
      <c r="B186" s="4">
        <v>75831.0</v>
      </c>
      <c r="C186" s="8">
        <v>1304.0</v>
      </c>
      <c r="D186" s="5">
        <v>1304.29</v>
      </c>
      <c r="E186" s="4">
        <v>18.0</v>
      </c>
      <c r="F186" s="5">
        <v>3389.34</v>
      </c>
      <c r="G186" s="6"/>
      <c r="I186" s="5"/>
    </row>
    <row r="187" ht="15.75" customHeight="1">
      <c r="A187" s="3">
        <v>45112.0</v>
      </c>
      <c r="B187" s="4">
        <v>86875.0</v>
      </c>
      <c r="C187" s="8">
        <v>2371.0</v>
      </c>
      <c r="D187" s="5">
        <v>3486.38</v>
      </c>
      <c r="E187" s="4">
        <v>30.0</v>
      </c>
      <c r="F187" s="5">
        <v>4378.14</v>
      </c>
      <c r="G187" s="6"/>
      <c r="I187" s="5"/>
    </row>
    <row r="188" ht="15.75" customHeight="1">
      <c r="A188" s="3">
        <v>45113.0</v>
      </c>
      <c r="B188" s="4">
        <v>24285.0</v>
      </c>
      <c r="C188" s="4">
        <v>536.0</v>
      </c>
      <c r="D188" s="5">
        <v>788.94</v>
      </c>
      <c r="E188" s="4">
        <v>7.0</v>
      </c>
      <c r="F188" s="5">
        <v>873.32</v>
      </c>
      <c r="G188" s="6"/>
      <c r="I188" s="5"/>
    </row>
    <row r="189" ht="15.75" customHeight="1">
      <c r="A189" s="3">
        <v>45114.0</v>
      </c>
      <c r="B189" s="4">
        <v>42691.0</v>
      </c>
      <c r="C189" s="8">
        <v>1139.0</v>
      </c>
      <c r="D189" s="5">
        <v>1686.97</v>
      </c>
      <c r="E189" s="4">
        <v>26.0</v>
      </c>
      <c r="F189" s="5">
        <v>4366.19</v>
      </c>
      <c r="G189" s="6"/>
      <c r="I189" s="5"/>
    </row>
    <row r="190" ht="15.75" customHeight="1">
      <c r="A190" s="3">
        <v>45115.0</v>
      </c>
      <c r="B190" s="4">
        <v>73001.0</v>
      </c>
      <c r="C190" s="8">
        <v>1423.0</v>
      </c>
      <c r="D190" s="5">
        <v>2676.21</v>
      </c>
      <c r="E190" s="4">
        <v>31.0</v>
      </c>
      <c r="F190" s="5">
        <v>3349.83</v>
      </c>
      <c r="G190" s="6"/>
      <c r="I190" s="5"/>
    </row>
    <row r="191" ht="15.75" customHeight="1">
      <c r="A191" s="3">
        <v>45116.0</v>
      </c>
      <c r="B191" s="4">
        <v>50947.0</v>
      </c>
      <c r="C191" s="4">
        <v>881.0</v>
      </c>
      <c r="D191" s="5">
        <v>1507.16</v>
      </c>
      <c r="E191" s="4">
        <v>18.0</v>
      </c>
      <c r="F191" s="5">
        <v>1851.96</v>
      </c>
      <c r="G191" s="6"/>
      <c r="I191" s="5"/>
    </row>
    <row r="192" ht="15.75" customHeight="1">
      <c r="A192" s="3">
        <v>45117.0</v>
      </c>
      <c r="B192" s="4">
        <v>46456.0</v>
      </c>
      <c r="C192" s="8">
        <v>1231.0</v>
      </c>
      <c r="D192" s="5">
        <v>1797.38</v>
      </c>
      <c r="E192" s="4">
        <v>17.0</v>
      </c>
      <c r="F192" s="5">
        <v>2127.31</v>
      </c>
      <c r="G192" s="6"/>
      <c r="I192" s="5"/>
    </row>
    <row r="193" ht="15.75" customHeight="1">
      <c r="A193" s="3">
        <v>45118.0</v>
      </c>
      <c r="B193" s="4">
        <v>84562.0</v>
      </c>
      <c r="C193" s="8">
        <v>1090.0</v>
      </c>
      <c r="D193" s="5">
        <v>1418.1</v>
      </c>
      <c r="E193" s="4">
        <v>17.0</v>
      </c>
      <c r="F193" s="5">
        <v>3038.34</v>
      </c>
      <c r="G193" s="6"/>
      <c r="I193" s="5"/>
    </row>
    <row r="194" ht="15.75" customHeight="1">
      <c r="A194" s="3">
        <v>45119.0</v>
      </c>
      <c r="B194" s="4">
        <v>96354.0</v>
      </c>
      <c r="C194" s="8">
        <v>2765.0</v>
      </c>
      <c r="D194" s="5">
        <v>3373.73</v>
      </c>
      <c r="E194" s="4">
        <v>63.0</v>
      </c>
      <c r="F194" s="5">
        <v>9688.99</v>
      </c>
      <c r="G194" s="6"/>
      <c r="I194" s="5"/>
    </row>
    <row r="195" ht="15.75" customHeight="1">
      <c r="A195" s="3">
        <v>45120.0</v>
      </c>
      <c r="B195" s="4">
        <v>37440.0</v>
      </c>
      <c r="C195" s="8">
        <v>1093.0</v>
      </c>
      <c r="D195" s="5">
        <v>1727.33</v>
      </c>
      <c r="E195" s="4">
        <v>22.0</v>
      </c>
      <c r="F195" s="5">
        <v>4371.24</v>
      </c>
      <c r="G195" s="6"/>
      <c r="I195" s="5"/>
    </row>
    <row r="196" ht="15.75" customHeight="1">
      <c r="A196" s="3">
        <v>45121.0</v>
      </c>
      <c r="B196" s="4">
        <v>54837.0</v>
      </c>
      <c r="C196" s="4">
        <v>701.0</v>
      </c>
      <c r="D196" s="5">
        <v>1207.29</v>
      </c>
      <c r="E196" s="4">
        <v>13.0</v>
      </c>
      <c r="F196" s="5">
        <v>2614.28</v>
      </c>
      <c r="G196" s="6"/>
      <c r="I196" s="5"/>
    </row>
    <row r="197" ht="15.75" customHeight="1">
      <c r="A197" s="3">
        <v>45122.0</v>
      </c>
      <c r="B197" s="4">
        <v>62057.0</v>
      </c>
      <c r="C197" s="8">
        <v>1129.0</v>
      </c>
      <c r="D197" s="5">
        <v>2191.1</v>
      </c>
      <c r="E197" s="4">
        <v>21.0</v>
      </c>
      <c r="F197" s="5">
        <v>3653.84</v>
      </c>
      <c r="G197" s="6"/>
      <c r="I197" s="5"/>
    </row>
    <row r="198" ht="15.75" customHeight="1">
      <c r="A198" s="3">
        <v>45123.0</v>
      </c>
      <c r="B198" s="4">
        <v>86230.0</v>
      </c>
      <c r="C198" s="8">
        <v>2086.0</v>
      </c>
      <c r="D198" s="5">
        <v>3464.03</v>
      </c>
      <c r="E198" s="4">
        <v>49.0</v>
      </c>
      <c r="F198" s="5">
        <v>6943.92</v>
      </c>
      <c r="G198" s="6"/>
      <c r="I198" s="5"/>
    </row>
    <row r="199" ht="15.75" customHeight="1">
      <c r="A199" s="3">
        <v>45124.0</v>
      </c>
      <c r="B199" s="4">
        <v>46938.0</v>
      </c>
      <c r="C199" s="8">
        <v>1276.0</v>
      </c>
      <c r="D199" s="5">
        <v>1787.39</v>
      </c>
      <c r="E199" s="4">
        <v>20.0</v>
      </c>
      <c r="F199" s="5">
        <v>3868.57</v>
      </c>
      <c r="G199" s="6"/>
      <c r="I199" s="5"/>
    </row>
    <row r="200" ht="15.75" customHeight="1">
      <c r="A200" s="3">
        <v>45125.0</v>
      </c>
      <c r="B200" s="4">
        <v>73367.0</v>
      </c>
      <c r="C200" s="8">
        <v>1621.0</v>
      </c>
      <c r="D200" s="5">
        <v>2967.18</v>
      </c>
      <c r="E200" s="4">
        <v>21.0</v>
      </c>
      <c r="F200" s="5">
        <v>2442.66</v>
      </c>
      <c r="G200" s="6"/>
      <c r="I200" s="5"/>
    </row>
    <row r="201" ht="15.75" customHeight="1">
      <c r="A201" s="3">
        <v>45126.0</v>
      </c>
      <c r="B201" s="4">
        <v>28556.0</v>
      </c>
      <c r="C201" s="4">
        <v>462.0</v>
      </c>
      <c r="D201" s="5">
        <v>518.12</v>
      </c>
      <c r="E201" s="4">
        <v>10.0</v>
      </c>
      <c r="F201" s="5">
        <v>1378.2</v>
      </c>
      <c r="G201" s="6"/>
      <c r="I201" s="5"/>
    </row>
    <row r="202" ht="15.75" customHeight="1">
      <c r="A202" s="3">
        <v>45127.0</v>
      </c>
      <c r="B202" s="4">
        <v>31091.0</v>
      </c>
      <c r="C202" s="4">
        <v>914.0</v>
      </c>
      <c r="D202" s="5">
        <v>1343.69</v>
      </c>
      <c r="E202" s="4">
        <v>13.0</v>
      </c>
      <c r="F202" s="5">
        <v>2143.69</v>
      </c>
      <c r="G202" s="6"/>
      <c r="I202" s="5"/>
    </row>
    <row r="203" ht="15.75" customHeight="1">
      <c r="A203" s="3">
        <v>45128.0</v>
      </c>
      <c r="B203" s="4">
        <v>22502.0</v>
      </c>
      <c r="C203" s="4">
        <v>265.0</v>
      </c>
      <c r="D203" s="5">
        <v>331.9</v>
      </c>
      <c r="E203" s="4">
        <v>6.0</v>
      </c>
      <c r="F203" s="5">
        <v>852.2</v>
      </c>
      <c r="G203" s="6"/>
      <c r="I203" s="5"/>
    </row>
    <row r="204" ht="15.75" customHeight="1">
      <c r="A204" s="3">
        <v>45129.0</v>
      </c>
      <c r="B204" s="4">
        <v>23195.0</v>
      </c>
      <c r="C204" s="4">
        <v>361.0</v>
      </c>
      <c r="D204" s="5">
        <v>676.64</v>
      </c>
      <c r="E204" s="4">
        <v>5.0</v>
      </c>
      <c r="F204" s="5">
        <v>587.67</v>
      </c>
      <c r="G204" s="6"/>
      <c r="I204" s="5"/>
    </row>
    <row r="205" ht="15.75" customHeight="1">
      <c r="A205" s="3">
        <v>45130.0</v>
      </c>
      <c r="B205" s="4">
        <v>16705.0</v>
      </c>
      <c r="C205" s="4">
        <v>377.0</v>
      </c>
      <c r="D205" s="5">
        <v>683.33</v>
      </c>
      <c r="E205" s="4">
        <v>7.0</v>
      </c>
      <c r="F205" s="5">
        <v>1539.88</v>
      </c>
      <c r="G205" s="6"/>
      <c r="I205" s="5"/>
    </row>
    <row r="206" ht="15.75" customHeight="1">
      <c r="A206" s="3">
        <v>45131.0</v>
      </c>
      <c r="B206" s="4">
        <v>88274.0</v>
      </c>
      <c r="C206" s="8">
        <v>1933.0</v>
      </c>
      <c r="D206" s="5">
        <v>2049.19</v>
      </c>
      <c r="E206" s="4">
        <v>32.0</v>
      </c>
      <c r="F206" s="5">
        <v>3883.03</v>
      </c>
      <c r="G206" s="6"/>
      <c r="I206" s="5"/>
    </row>
    <row r="207" ht="15.75" customHeight="1">
      <c r="A207" s="3">
        <v>45132.0</v>
      </c>
      <c r="B207" s="4">
        <v>39115.0</v>
      </c>
      <c r="C207" s="4">
        <v>441.0</v>
      </c>
      <c r="D207" s="5">
        <v>495.03</v>
      </c>
      <c r="E207" s="4">
        <v>8.0</v>
      </c>
      <c r="F207" s="5">
        <v>1511.64</v>
      </c>
      <c r="G207" s="6"/>
      <c r="I207" s="5"/>
    </row>
    <row r="208" ht="15.75" customHeight="1">
      <c r="A208" s="3">
        <v>45133.0</v>
      </c>
      <c r="B208" s="4">
        <v>18005.0</v>
      </c>
      <c r="C208" s="4">
        <v>358.0</v>
      </c>
      <c r="D208" s="5">
        <v>490.87</v>
      </c>
      <c r="E208" s="4">
        <v>8.0</v>
      </c>
      <c r="F208" s="5">
        <v>1083.0</v>
      </c>
      <c r="G208" s="6"/>
      <c r="I208" s="5"/>
    </row>
    <row r="209" ht="15.75" customHeight="1">
      <c r="A209" s="3">
        <v>45134.0</v>
      </c>
      <c r="B209" s="4">
        <v>53771.0</v>
      </c>
      <c r="C209" s="8">
        <v>1559.0</v>
      </c>
      <c r="D209" s="5">
        <v>2744.47</v>
      </c>
      <c r="E209" s="4">
        <v>19.0</v>
      </c>
      <c r="F209" s="5">
        <v>2750.71</v>
      </c>
      <c r="G209" s="6"/>
      <c r="I209" s="5"/>
    </row>
    <row r="210" ht="15.75" customHeight="1">
      <c r="A210" s="3">
        <v>45135.0</v>
      </c>
      <c r="B210" s="4">
        <v>88214.0</v>
      </c>
      <c r="C210" s="8">
        <v>1146.0</v>
      </c>
      <c r="D210" s="5">
        <v>2006.86</v>
      </c>
      <c r="E210" s="4">
        <v>20.0</v>
      </c>
      <c r="F210" s="5">
        <v>2340.12</v>
      </c>
      <c r="G210" s="6"/>
      <c r="I210" s="5"/>
    </row>
    <row r="211" ht="15.75" customHeight="1">
      <c r="A211" s="3">
        <v>45136.0</v>
      </c>
      <c r="B211" s="4">
        <v>40749.0</v>
      </c>
      <c r="C211" s="4">
        <v>969.0</v>
      </c>
      <c r="D211" s="5">
        <v>1280.17</v>
      </c>
      <c r="E211" s="4">
        <v>16.0</v>
      </c>
      <c r="F211" s="5">
        <v>2801.92</v>
      </c>
      <c r="G211" s="6"/>
      <c r="I211" s="5"/>
    </row>
    <row r="212" ht="15.75" customHeight="1">
      <c r="A212" s="3">
        <v>45137.0</v>
      </c>
      <c r="B212" s="4">
        <v>48390.0</v>
      </c>
      <c r="C212" s="4">
        <v>846.0</v>
      </c>
      <c r="D212" s="5">
        <v>939.97</v>
      </c>
      <c r="E212" s="4">
        <v>14.0</v>
      </c>
      <c r="F212" s="5">
        <v>2313.36</v>
      </c>
      <c r="G212" s="6"/>
      <c r="I212" s="5"/>
    </row>
    <row r="213" ht="15.75" customHeight="1">
      <c r="A213" s="3">
        <v>45138.0</v>
      </c>
      <c r="B213" s="4">
        <v>36444.0</v>
      </c>
      <c r="C213" s="4">
        <v>863.0</v>
      </c>
      <c r="D213" s="5">
        <v>1597.88</v>
      </c>
      <c r="E213" s="4">
        <v>16.0</v>
      </c>
      <c r="F213" s="5">
        <v>3066.39</v>
      </c>
      <c r="G213" s="6"/>
      <c r="I213" s="5"/>
    </row>
    <row r="214" ht="15.75" customHeight="1">
      <c r="A214" s="3">
        <v>45139.0</v>
      </c>
      <c r="B214" s="4">
        <v>50980.0</v>
      </c>
      <c r="C214" s="4">
        <v>790.0</v>
      </c>
      <c r="D214" s="5">
        <v>1114.16</v>
      </c>
      <c r="E214" s="4">
        <v>13.0</v>
      </c>
      <c r="F214" s="5">
        <v>2216.96</v>
      </c>
      <c r="G214" s="6"/>
      <c r="I214" s="5"/>
    </row>
    <row r="215" ht="15.75" customHeight="1">
      <c r="A215" s="3">
        <v>45140.0</v>
      </c>
      <c r="B215" s="4">
        <v>53099.0</v>
      </c>
      <c r="C215" s="4">
        <v>854.0</v>
      </c>
      <c r="D215" s="5">
        <v>940.38</v>
      </c>
      <c r="E215" s="4">
        <v>19.0</v>
      </c>
      <c r="F215" s="5">
        <v>2212.21</v>
      </c>
      <c r="G215" s="6"/>
      <c r="I215" s="5"/>
    </row>
    <row r="216" ht="15.75" customHeight="1">
      <c r="A216" s="3">
        <v>45141.0</v>
      </c>
      <c r="B216" s="4">
        <v>73679.0</v>
      </c>
      <c r="C216" s="8">
        <v>1981.0</v>
      </c>
      <c r="D216" s="5">
        <v>3091.86</v>
      </c>
      <c r="E216" s="4">
        <v>43.0</v>
      </c>
      <c r="F216" s="5">
        <v>5983.95</v>
      </c>
      <c r="G216" s="6"/>
      <c r="I216" s="5"/>
    </row>
    <row r="217" ht="15.75" customHeight="1">
      <c r="A217" s="3">
        <v>45142.0</v>
      </c>
      <c r="B217" s="4">
        <v>38948.0</v>
      </c>
      <c r="C217" s="4">
        <v>802.0</v>
      </c>
      <c r="D217" s="5">
        <v>1227.56</v>
      </c>
      <c r="E217" s="4">
        <v>14.0</v>
      </c>
      <c r="F217" s="5">
        <v>1929.6</v>
      </c>
      <c r="G217" s="6"/>
      <c r="I217" s="5"/>
    </row>
    <row r="218" ht="15.75" customHeight="1">
      <c r="A218" s="3">
        <v>45143.0</v>
      </c>
      <c r="B218" s="4">
        <v>39670.0</v>
      </c>
      <c r="C218" s="4">
        <v>844.0</v>
      </c>
      <c r="D218" s="5">
        <v>1351.95</v>
      </c>
      <c r="E218" s="4">
        <v>16.0</v>
      </c>
      <c r="F218" s="5">
        <v>2011.71</v>
      </c>
      <c r="G218" s="6"/>
      <c r="I218" s="5"/>
    </row>
    <row r="219" ht="15.75" customHeight="1">
      <c r="A219" s="3">
        <v>45144.0</v>
      </c>
      <c r="B219" s="4">
        <v>48916.0</v>
      </c>
      <c r="C219" s="4">
        <v>616.0</v>
      </c>
      <c r="D219" s="5">
        <v>708.79</v>
      </c>
      <c r="E219" s="4">
        <v>13.0</v>
      </c>
      <c r="F219" s="5">
        <v>1930.2</v>
      </c>
      <c r="G219" s="6"/>
      <c r="I219" s="5"/>
    </row>
    <row r="220" ht="15.75" customHeight="1">
      <c r="A220" s="3">
        <v>45145.0</v>
      </c>
      <c r="B220" s="4">
        <v>64865.0</v>
      </c>
      <c r="C220" s="8">
        <v>1920.0</v>
      </c>
      <c r="D220" s="5">
        <v>3763.2</v>
      </c>
      <c r="E220" s="4">
        <v>46.0</v>
      </c>
      <c r="F220" s="5">
        <v>7495.7</v>
      </c>
      <c r="G220" s="6"/>
      <c r="I220" s="5"/>
    </row>
    <row r="221" ht="15.75" customHeight="1">
      <c r="A221" s="3">
        <v>45146.0</v>
      </c>
      <c r="B221" s="4">
        <v>98040.0</v>
      </c>
      <c r="C221" s="8">
        <v>1647.0</v>
      </c>
      <c r="D221" s="5">
        <v>1943.54</v>
      </c>
      <c r="E221" s="4">
        <v>35.0</v>
      </c>
      <c r="F221" s="5">
        <v>4350.25</v>
      </c>
      <c r="G221" s="6"/>
      <c r="I221" s="5"/>
    </row>
    <row r="222" ht="15.75" customHeight="1">
      <c r="A222" s="3">
        <v>45147.0</v>
      </c>
      <c r="B222" s="4">
        <v>32581.0</v>
      </c>
      <c r="C222" s="4">
        <v>329.0</v>
      </c>
      <c r="D222" s="5">
        <v>460.69</v>
      </c>
      <c r="E222" s="4">
        <v>8.0</v>
      </c>
      <c r="F222" s="5">
        <v>1056.14</v>
      </c>
      <c r="G222" s="6"/>
      <c r="I222" s="5"/>
    </row>
    <row r="223" ht="15.75" customHeight="1">
      <c r="A223" s="3">
        <v>45148.0</v>
      </c>
      <c r="B223" s="4">
        <v>55945.0</v>
      </c>
      <c r="C223" s="8">
        <v>1169.0</v>
      </c>
      <c r="D223" s="5">
        <v>2256.65</v>
      </c>
      <c r="E223" s="4">
        <v>15.0</v>
      </c>
      <c r="F223" s="5">
        <v>2404.8</v>
      </c>
      <c r="G223" s="6"/>
      <c r="I223" s="5"/>
    </row>
    <row r="224" ht="15.75" customHeight="1">
      <c r="A224" s="3">
        <v>45149.0</v>
      </c>
      <c r="B224" s="4">
        <v>84152.0</v>
      </c>
      <c r="C224" s="8">
        <v>1253.0</v>
      </c>
      <c r="D224" s="5">
        <v>1943.49</v>
      </c>
      <c r="E224" s="4">
        <v>28.0</v>
      </c>
      <c r="F224" s="5">
        <v>3075.1</v>
      </c>
      <c r="G224" s="6"/>
      <c r="I224" s="5"/>
    </row>
    <row r="225" ht="15.75" customHeight="1">
      <c r="A225" s="3">
        <v>45150.0</v>
      </c>
      <c r="B225" s="4">
        <v>17289.0</v>
      </c>
      <c r="C225" s="4">
        <v>288.0</v>
      </c>
      <c r="D225" s="5">
        <v>537.03</v>
      </c>
      <c r="E225" s="4">
        <v>6.0</v>
      </c>
      <c r="F225" s="5">
        <v>1203.64</v>
      </c>
      <c r="G225" s="6"/>
      <c r="I225" s="5"/>
    </row>
    <row r="226" ht="15.75" customHeight="1">
      <c r="A226" s="3">
        <v>45151.0</v>
      </c>
      <c r="B226" s="4">
        <v>54915.0</v>
      </c>
      <c r="C226" s="4">
        <v>713.0</v>
      </c>
      <c r="D226" s="5">
        <v>1063.7</v>
      </c>
      <c r="E226" s="4">
        <v>9.0</v>
      </c>
      <c r="F226" s="5">
        <v>1079.41</v>
      </c>
      <c r="G226" s="6"/>
      <c r="I226" s="5"/>
    </row>
    <row r="227" ht="15.75" customHeight="1">
      <c r="A227" s="3">
        <v>45152.0</v>
      </c>
      <c r="B227" s="4">
        <v>94500.0</v>
      </c>
      <c r="C227" s="8">
        <v>2088.0</v>
      </c>
      <c r="D227" s="5">
        <v>2589.67</v>
      </c>
      <c r="E227" s="4">
        <v>39.0</v>
      </c>
      <c r="F227" s="5">
        <v>7977.88</v>
      </c>
      <c r="G227" s="6"/>
      <c r="I227" s="5"/>
    </row>
    <row r="228" ht="15.75" customHeight="1">
      <c r="A228" s="3">
        <v>45153.0</v>
      </c>
      <c r="B228" s="4">
        <v>75026.0</v>
      </c>
      <c r="C228" s="8">
        <v>2130.0</v>
      </c>
      <c r="D228" s="5">
        <v>3515.71</v>
      </c>
      <c r="E228" s="4">
        <v>26.0</v>
      </c>
      <c r="F228" s="5">
        <v>3515.72</v>
      </c>
      <c r="G228" s="6"/>
      <c r="I228" s="5"/>
    </row>
    <row r="229" ht="15.75" customHeight="1">
      <c r="A229" s="3">
        <v>45154.0</v>
      </c>
      <c r="B229" s="4">
        <v>30890.0</v>
      </c>
      <c r="C229" s="4">
        <v>759.0</v>
      </c>
      <c r="D229" s="5">
        <v>835.88</v>
      </c>
      <c r="E229" s="4">
        <v>9.0</v>
      </c>
      <c r="F229" s="5">
        <v>1507.63</v>
      </c>
      <c r="G229" s="6"/>
      <c r="I229" s="5"/>
    </row>
    <row r="230" ht="15.75" customHeight="1">
      <c r="A230" s="3">
        <v>45155.0</v>
      </c>
      <c r="B230" s="4">
        <v>91216.0</v>
      </c>
      <c r="C230" s="8">
        <v>1213.0</v>
      </c>
      <c r="D230" s="5">
        <v>2220.1</v>
      </c>
      <c r="E230" s="4">
        <v>25.0</v>
      </c>
      <c r="F230" s="5">
        <v>3514.32</v>
      </c>
      <c r="G230" s="6"/>
      <c r="I230" s="5"/>
    </row>
    <row r="231" ht="15.75" customHeight="1">
      <c r="A231" s="3">
        <v>45156.0</v>
      </c>
      <c r="B231" s="4">
        <v>72902.0</v>
      </c>
      <c r="C231" s="8">
        <v>1399.0</v>
      </c>
      <c r="D231" s="5">
        <v>2127.57</v>
      </c>
      <c r="E231" s="4">
        <v>34.0</v>
      </c>
      <c r="F231" s="5">
        <v>4938.21</v>
      </c>
      <c r="G231" s="6"/>
      <c r="I231" s="5"/>
    </row>
    <row r="232" ht="15.75" customHeight="1">
      <c r="A232" s="3">
        <v>45157.0</v>
      </c>
      <c r="B232" s="4">
        <v>11758.0</v>
      </c>
      <c r="C232" s="4">
        <v>262.0</v>
      </c>
      <c r="D232" s="5">
        <v>409.03</v>
      </c>
      <c r="E232" s="4">
        <v>5.0</v>
      </c>
      <c r="F232" s="5">
        <v>726.04</v>
      </c>
      <c r="G232" s="6"/>
      <c r="I232" s="5"/>
    </row>
    <row r="233" ht="15.75" customHeight="1">
      <c r="A233" s="3">
        <v>45158.0</v>
      </c>
      <c r="B233" s="4">
        <v>14164.0</v>
      </c>
      <c r="C233" s="4">
        <v>288.0</v>
      </c>
      <c r="D233" s="5">
        <v>470.98</v>
      </c>
      <c r="E233" s="4">
        <v>4.0</v>
      </c>
      <c r="F233" s="5">
        <v>631.17</v>
      </c>
      <c r="G233" s="6"/>
      <c r="I233" s="5"/>
    </row>
    <row r="234" ht="15.75" customHeight="1">
      <c r="A234" s="3">
        <v>45159.0</v>
      </c>
      <c r="B234" s="4">
        <v>11775.0</v>
      </c>
      <c r="C234" s="4">
        <v>193.0</v>
      </c>
      <c r="D234" s="5">
        <v>220.14</v>
      </c>
      <c r="E234" s="4">
        <v>3.0</v>
      </c>
      <c r="F234" s="5">
        <v>702.92</v>
      </c>
      <c r="G234" s="6"/>
      <c r="I234" s="5"/>
    </row>
    <row r="235" ht="15.75" customHeight="1">
      <c r="A235" s="3">
        <v>45160.0</v>
      </c>
      <c r="B235" s="4">
        <v>54177.0</v>
      </c>
      <c r="C235" s="8">
        <v>1403.0</v>
      </c>
      <c r="D235" s="5">
        <v>2371.38</v>
      </c>
      <c r="E235" s="4">
        <v>18.0</v>
      </c>
      <c r="F235" s="5">
        <v>3315.02</v>
      </c>
      <c r="G235" s="6"/>
      <c r="I235" s="5"/>
    </row>
    <row r="236" ht="15.75" customHeight="1">
      <c r="A236" s="3">
        <v>45161.0</v>
      </c>
      <c r="B236" s="4">
        <v>88744.0</v>
      </c>
      <c r="C236" s="8">
        <v>2307.0</v>
      </c>
      <c r="D236" s="5">
        <v>2630.37</v>
      </c>
      <c r="E236" s="4">
        <v>34.0</v>
      </c>
      <c r="F236" s="5">
        <v>6119.54</v>
      </c>
      <c r="G236" s="6"/>
      <c r="I236" s="5"/>
    </row>
    <row r="237" ht="15.75" customHeight="1">
      <c r="A237" s="3">
        <v>45162.0</v>
      </c>
      <c r="B237" s="4">
        <v>23927.0</v>
      </c>
      <c r="C237" s="4">
        <v>703.0</v>
      </c>
      <c r="D237" s="5">
        <v>914.48</v>
      </c>
      <c r="E237" s="4">
        <v>15.0</v>
      </c>
      <c r="F237" s="5">
        <v>2331.39</v>
      </c>
      <c r="G237" s="6"/>
      <c r="I237" s="5"/>
    </row>
    <row r="238" ht="15.75" customHeight="1">
      <c r="A238" s="3">
        <v>45163.0</v>
      </c>
      <c r="B238" s="4">
        <v>89752.0</v>
      </c>
      <c r="C238" s="8">
        <v>1409.0</v>
      </c>
      <c r="D238" s="5">
        <v>2775.93</v>
      </c>
      <c r="E238" s="4">
        <v>24.0</v>
      </c>
      <c r="F238" s="5">
        <v>4509.85</v>
      </c>
      <c r="G238" s="6"/>
      <c r="I238" s="5"/>
    </row>
    <row r="239" ht="15.75" customHeight="1">
      <c r="A239" s="3">
        <v>45164.0</v>
      </c>
      <c r="B239" s="4">
        <v>76685.0</v>
      </c>
      <c r="C239" s="8">
        <v>1257.0</v>
      </c>
      <c r="D239" s="5">
        <v>2213.43</v>
      </c>
      <c r="E239" s="4">
        <v>25.0</v>
      </c>
      <c r="F239" s="5">
        <v>3823.21</v>
      </c>
      <c r="G239" s="6"/>
      <c r="I239" s="5"/>
    </row>
    <row r="240" ht="15.75" customHeight="1">
      <c r="A240" s="3">
        <v>45165.0</v>
      </c>
      <c r="B240" s="4">
        <v>58195.0</v>
      </c>
      <c r="C240" s="8">
        <v>1443.0</v>
      </c>
      <c r="D240" s="5">
        <v>2496.79</v>
      </c>
      <c r="E240" s="4">
        <v>25.0</v>
      </c>
      <c r="F240" s="5">
        <v>3081.31</v>
      </c>
      <c r="G240" s="6"/>
      <c r="I240" s="5"/>
    </row>
    <row r="241" ht="15.75" customHeight="1">
      <c r="A241" s="3">
        <v>45166.0</v>
      </c>
      <c r="B241" s="4">
        <v>26918.0</v>
      </c>
      <c r="C241" s="4">
        <v>390.0</v>
      </c>
      <c r="D241" s="5">
        <v>667.43</v>
      </c>
      <c r="E241" s="4">
        <v>4.0</v>
      </c>
      <c r="F241" s="5">
        <v>673.29</v>
      </c>
      <c r="G241" s="6"/>
      <c r="I241" s="5"/>
    </row>
    <row r="242" ht="15.75" customHeight="1">
      <c r="A242" s="3">
        <v>45167.0</v>
      </c>
      <c r="B242" s="4">
        <v>50916.0</v>
      </c>
      <c r="C242" s="4">
        <v>621.0</v>
      </c>
      <c r="D242" s="5">
        <v>913.12</v>
      </c>
      <c r="E242" s="4">
        <v>13.0</v>
      </c>
      <c r="F242" s="5">
        <v>2285.43</v>
      </c>
      <c r="G242" s="6"/>
      <c r="I242" s="5"/>
    </row>
    <row r="243" ht="15.75" customHeight="1">
      <c r="A243" s="3">
        <v>45168.0</v>
      </c>
      <c r="B243" s="4">
        <v>14691.0</v>
      </c>
      <c r="C243" s="4">
        <v>289.0</v>
      </c>
      <c r="D243" s="5">
        <v>578.82</v>
      </c>
      <c r="E243" s="4">
        <v>5.0</v>
      </c>
      <c r="F243" s="5">
        <v>589.19</v>
      </c>
      <c r="G243" s="6"/>
      <c r="I243" s="5"/>
    </row>
    <row r="244" ht="15.75" customHeight="1">
      <c r="A244" s="3">
        <v>45169.0</v>
      </c>
      <c r="B244" s="4">
        <v>69387.0</v>
      </c>
      <c r="C244" s="8">
        <v>1325.0</v>
      </c>
      <c r="D244" s="5">
        <v>1418.06</v>
      </c>
      <c r="E244" s="4">
        <v>21.0</v>
      </c>
      <c r="F244" s="5">
        <v>3039.56</v>
      </c>
      <c r="G244" s="6"/>
      <c r="I244" s="5"/>
    </row>
    <row r="245" ht="15.75" customHeight="1">
      <c r="A245" s="3">
        <v>45170.0</v>
      </c>
      <c r="B245" s="4">
        <v>88615.0</v>
      </c>
      <c r="C245" s="8">
        <v>1302.0</v>
      </c>
      <c r="D245" s="5">
        <v>2422.91</v>
      </c>
      <c r="E245" s="4">
        <v>30.0</v>
      </c>
      <c r="F245" s="5">
        <v>3170.11</v>
      </c>
      <c r="G245" s="6"/>
      <c r="I245" s="5"/>
    </row>
    <row r="246" ht="15.75" customHeight="1">
      <c r="A246" s="3">
        <v>45171.0</v>
      </c>
      <c r="B246" s="4">
        <v>54624.0</v>
      </c>
      <c r="C246" s="8">
        <v>1431.0</v>
      </c>
      <c r="D246" s="5">
        <v>1431.14</v>
      </c>
      <c r="E246" s="4">
        <v>24.0</v>
      </c>
      <c r="F246" s="5">
        <v>2740.94</v>
      </c>
      <c r="G246" s="6"/>
      <c r="I246" s="5"/>
    </row>
    <row r="247" ht="15.75" customHeight="1">
      <c r="A247" s="3">
        <v>45172.0</v>
      </c>
      <c r="B247" s="4">
        <v>22282.0</v>
      </c>
      <c r="C247" s="4">
        <v>586.0</v>
      </c>
      <c r="D247" s="5">
        <v>679.77</v>
      </c>
      <c r="E247" s="4">
        <v>7.0</v>
      </c>
      <c r="F247" s="5">
        <v>1305.06</v>
      </c>
      <c r="G247" s="6"/>
      <c r="I247" s="5"/>
    </row>
    <row r="248" ht="15.75" customHeight="1">
      <c r="A248" s="3">
        <v>45173.0</v>
      </c>
      <c r="B248" s="4">
        <v>93812.0</v>
      </c>
      <c r="C248" s="8">
        <v>2514.0</v>
      </c>
      <c r="D248" s="5">
        <v>2991.85</v>
      </c>
      <c r="E248" s="4">
        <v>51.0</v>
      </c>
      <c r="F248" s="5">
        <v>8349.53</v>
      </c>
      <c r="G248" s="6"/>
      <c r="I248" s="5"/>
    </row>
    <row r="249" ht="15.75" customHeight="1">
      <c r="A249" s="3">
        <v>45174.0</v>
      </c>
      <c r="B249" s="4">
        <v>97918.0</v>
      </c>
      <c r="C249" s="8">
        <v>1821.0</v>
      </c>
      <c r="D249" s="5">
        <v>3023.31</v>
      </c>
      <c r="E249" s="4">
        <v>32.0</v>
      </c>
      <c r="F249" s="5">
        <v>6593.01</v>
      </c>
      <c r="G249" s="6"/>
      <c r="I249" s="5"/>
    </row>
    <row r="250" ht="15.75" customHeight="1">
      <c r="A250" s="3">
        <v>45175.0</v>
      </c>
      <c r="B250" s="4">
        <v>32836.0</v>
      </c>
      <c r="C250" s="4">
        <v>820.0</v>
      </c>
      <c r="D250" s="5">
        <v>1576.12</v>
      </c>
      <c r="E250" s="4">
        <v>11.0</v>
      </c>
      <c r="F250" s="5">
        <v>2154.7</v>
      </c>
      <c r="G250" s="6"/>
      <c r="I250" s="5"/>
    </row>
    <row r="251" ht="15.75" customHeight="1">
      <c r="A251" s="3">
        <v>45176.0</v>
      </c>
      <c r="B251" s="4">
        <v>15457.0</v>
      </c>
      <c r="C251" s="4">
        <v>205.0</v>
      </c>
      <c r="D251" s="5">
        <v>404.98</v>
      </c>
      <c r="E251" s="4">
        <v>2.0</v>
      </c>
      <c r="F251" s="5">
        <v>394.3</v>
      </c>
      <c r="G251" s="6"/>
      <c r="I251" s="5"/>
    </row>
    <row r="252" ht="15.75" customHeight="1">
      <c r="A252" s="3">
        <v>45177.0</v>
      </c>
      <c r="B252" s="4">
        <v>48461.0</v>
      </c>
      <c r="C252" s="4">
        <v>659.0</v>
      </c>
      <c r="D252" s="5">
        <v>1100.64</v>
      </c>
      <c r="E252" s="4">
        <v>15.0</v>
      </c>
      <c r="F252" s="5">
        <v>2424.32</v>
      </c>
      <c r="G252" s="6"/>
      <c r="I252" s="5"/>
    </row>
    <row r="253" ht="15.75" customHeight="1">
      <c r="A253" s="3">
        <v>45178.0</v>
      </c>
      <c r="B253" s="4">
        <v>15448.0</v>
      </c>
      <c r="C253" s="4">
        <v>410.0</v>
      </c>
      <c r="D253" s="5">
        <v>435.57</v>
      </c>
      <c r="E253" s="4">
        <v>5.0</v>
      </c>
      <c r="F253" s="5">
        <v>874.43</v>
      </c>
      <c r="G253" s="6"/>
      <c r="I253" s="5"/>
    </row>
    <row r="254" ht="15.75" customHeight="1">
      <c r="A254" s="3">
        <v>45179.0</v>
      </c>
      <c r="B254" s="4">
        <v>63862.0</v>
      </c>
      <c r="C254" s="8">
        <v>1213.0</v>
      </c>
      <c r="D254" s="5">
        <v>2171.94</v>
      </c>
      <c r="E254" s="4">
        <v>20.0</v>
      </c>
      <c r="F254" s="5">
        <v>2940.74</v>
      </c>
      <c r="G254" s="6"/>
      <c r="I254" s="5"/>
    </row>
    <row r="255" ht="15.75" customHeight="1">
      <c r="A255" s="3">
        <v>45180.0</v>
      </c>
      <c r="B255" s="4">
        <v>62801.0</v>
      </c>
      <c r="C255" s="4">
        <v>628.0</v>
      </c>
      <c r="D255" s="5">
        <v>1086.45</v>
      </c>
      <c r="E255" s="4">
        <v>15.0</v>
      </c>
      <c r="F255" s="5">
        <v>2899.52</v>
      </c>
      <c r="G255" s="6"/>
      <c r="I255" s="5"/>
    </row>
    <row r="256" ht="15.75" customHeight="1">
      <c r="A256" s="3">
        <v>45181.0</v>
      </c>
      <c r="B256" s="4">
        <v>53734.0</v>
      </c>
      <c r="C256" s="4">
        <v>779.0</v>
      </c>
      <c r="D256" s="5">
        <v>1098.59</v>
      </c>
      <c r="E256" s="4">
        <v>12.0</v>
      </c>
      <c r="F256" s="5">
        <v>2362.21</v>
      </c>
      <c r="G256" s="6"/>
      <c r="I256" s="5"/>
    </row>
    <row r="257" ht="15.75" customHeight="1">
      <c r="A257" s="3">
        <v>45182.0</v>
      </c>
      <c r="B257" s="4">
        <v>94469.0</v>
      </c>
      <c r="C257" s="8">
        <v>1530.0</v>
      </c>
      <c r="D257" s="5">
        <v>1652.82</v>
      </c>
      <c r="E257" s="4">
        <v>35.0</v>
      </c>
      <c r="F257" s="5">
        <v>5642.42</v>
      </c>
      <c r="G257" s="6"/>
      <c r="I257" s="5"/>
    </row>
    <row r="258" ht="15.75" customHeight="1">
      <c r="A258" s="3">
        <v>45183.0</v>
      </c>
      <c r="B258" s="4">
        <v>78852.0</v>
      </c>
      <c r="C258" s="8">
        <v>1663.0</v>
      </c>
      <c r="D258" s="5">
        <v>2029.8</v>
      </c>
      <c r="E258" s="4">
        <v>38.0</v>
      </c>
      <c r="F258" s="5">
        <v>7308.97</v>
      </c>
      <c r="G258" s="6"/>
      <c r="I258" s="5"/>
    </row>
    <row r="259" ht="15.75" customHeight="1">
      <c r="A259" s="3">
        <v>45184.0</v>
      </c>
      <c r="B259" s="4">
        <v>54645.0</v>
      </c>
      <c r="C259" s="4">
        <v>551.0</v>
      </c>
      <c r="D259" s="5">
        <v>927.21</v>
      </c>
      <c r="E259" s="4">
        <v>8.0</v>
      </c>
      <c r="F259" s="5">
        <v>1135.12</v>
      </c>
      <c r="G259" s="6"/>
      <c r="I259" s="5"/>
    </row>
    <row r="260" ht="15.75" customHeight="1">
      <c r="A260" s="3">
        <v>45185.0</v>
      </c>
      <c r="B260" s="4">
        <v>53416.0</v>
      </c>
      <c r="C260" s="8">
        <v>1404.0</v>
      </c>
      <c r="D260" s="5">
        <v>2458.47</v>
      </c>
      <c r="E260" s="4">
        <v>20.0</v>
      </c>
      <c r="F260" s="5">
        <v>3347.45</v>
      </c>
      <c r="G260" s="6"/>
      <c r="I260" s="5"/>
    </row>
    <row r="261" ht="15.75" customHeight="1">
      <c r="A261" s="3">
        <v>45186.0</v>
      </c>
      <c r="B261" s="4">
        <v>33824.0</v>
      </c>
      <c r="C261" s="4">
        <v>575.0</v>
      </c>
      <c r="D261" s="5">
        <v>1012.01</v>
      </c>
      <c r="E261" s="4">
        <v>11.0</v>
      </c>
      <c r="F261" s="5">
        <v>1386.23</v>
      </c>
      <c r="G261" s="6"/>
      <c r="I261" s="5"/>
    </row>
    <row r="262" ht="15.75" customHeight="1">
      <c r="A262" s="3">
        <v>45187.0</v>
      </c>
      <c r="B262" s="4">
        <v>12008.0</v>
      </c>
      <c r="C262" s="4">
        <v>174.0</v>
      </c>
      <c r="D262" s="5">
        <v>295.99</v>
      </c>
      <c r="E262" s="4">
        <v>3.0</v>
      </c>
      <c r="F262" s="5">
        <v>585.76</v>
      </c>
      <c r="G262" s="6"/>
      <c r="I262" s="5"/>
    </row>
    <row r="263" ht="15.75" customHeight="1">
      <c r="A263" s="3">
        <v>45188.0</v>
      </c>
      <c r="B263" s="4">
        <v>14356.0</v>
      </c>
      <c r="C263" s="4">
        <v>150.0</v>
      </c>
      <c r="D263" s="5">
        <v>266.8</v>
      </c>
      <c r="E263" s="4">
        <v>2.0</v>
      </c>
      <c r="F263" s="5">
        <v>248.6</v>
      </c>
      <c r="G263" s="6"/>
      <c r="I263" s="5"/>
    </row>
    <row r="264" ht="15.75" customHeight="1">
      <c r="A264" s="3">
        <v>45189.0</v>
      </c>
      <c r="B264" s="4">
        <v>11629.0</v>
      </c>
      <c r="C264" s="4">
        <v>151.0</v>
      </c>
      <c r="D264" s="5">
        <v>291.77</v>
      </c>
      <c r="E264" s="4">
        <v>3.0</v>
      </c>
      <c r="F264" s="5">
        <v>428.04</v>
      </c>
      <c r="G264" s="6"/>
      <c r="I264" s="5"/>
    </row>
    <row r="265" ht="15.75" customHeight="1">
      <c r="A265" s="3">
        <v>45190.0</v>
      </c>
      <c r="B265" s="4">
        <v>91727.0</v>
      </c>
      <c r="C265" s="8">
        <v>1403.0</v>
      </c>
      <c r="D265" s="5">
        <v>1866.55</v>
      </c>
      <c r="E265" s="4">
        <v>25.0</v>
      </c>
      <c r="F265" s="5">
        <v>4218.69</v>
      </c>
      <c r="G265" s="6"/>
      <c r="I265" s="5"/>
    </row>
    <row r="266" ht="15.75" customHeight="1">
      <c r="A266" s="3">
        <v>45191.0</v>
      </c>
      <c r="B266" s="4">
        <v>80004.0</v>
      </c>
      <c r="C266" s="8">
        <v>1592.0</v>
      </c>
      <c r="D266" s="5">
        <v>3168.23</v>
      </c>
      <c r="E266" s="4">
        <v>31.0</v>
      </c>
      <c r="F266" s="5">
        <v>5926.36</v>
      </c>
      <c r="G266" s="6"/>
      <c r="I266" s="5"/>
    </row>
    <row r="267" ht="15.75" customHeight="1">
      <c r="A267" s="3">
        <v>45192.0</v>
      </c>
      <c r="B267" s="4">
        <v>23005.0</v>
      </c>
      <c r="C267" s="4">
        <v>669.0</v>
      </c>
      <c r="D267" s="5">
        <v>1071.11</v>
      </c>
      <c r="E267" s="4">
        <v>10.0</v>
      </c>
      <c r="F267" s="5">
        <v>2064.03</v>
      </c>
      <c r="G267" s="6"/>
      <c r="I267" s="5"/>
    </row>
    <row r="268" ht="15.75" customHeight="1">
      <c r="A268" s="3">
        <v>45193.0</v>
      </c>
      <c r="B268" s="4">
        <v>55696.0</v>
      </c>
      <c r="C268" s="8">
        <v>1615.0</v>
      </c>
      <c r="D268" s="5">
        <v>1954.37</v>
      </c>
      <c r="E268" s="4">
        <v>38.0</v>
      </c>
      <c r="F268" s="5">
        <v>4186.56</v>
      </c>
      <c r="G268" s="6"/>
      <c r="I268" s="5"/>
    </row>
    <row r="269" ht="15.75" customHeight="1">
      <c r="A269" s="3">
        <v>45194.0</v>
      </c>
      <c r="B269" s="4">
        <v>67655.0</v>
      </c>
      <c r="C269" s="4">
        <v>872.0</v>
      </c>
      <c r="D269" s="5">
        <v>1597.13</v>
      </c>
      <c r="E269" s="4">
        <v>13.0</v>
      </c>
      <c r="F269" s="5">
        <v>1508.9</v>
      </c>
      <c r="G269" s="6"/>
      <c r="I269" s="5"/>
    </row>
    <row r="270" ht="15.75" customHeight="1">
      <c r="A270" s="3">
        <v>45195.0</v>
      </c>
      <c r="B270" s="4">
        <v>72129.0</v>
      </c>
      <c r="C270" s="8">
        <v>1615.0</v>
      </c>
      <c r="D270" s="5">
        <v>2391.22</v>
      </c>
      <c r="E270" s="4">
        <v>38.0</v>
      </c>
      <c r="F270" s="5">
        <v>6824.67</v>
      </c>
      <c r="G270" s="6"/>
      <c r="I270" s="5"/>
    </row>
    <row r="271" ht="15.75" customHeight="1">
      <c r="A271" s="3">
        <v>45196.0</v>
      </c>
      <c r="B271" s="4">
        <v>40518.0</v>
      </c>
      <c r="C271" s="4">
        <v>660.0</v>
      </c>
      <c r="D271" s="5">
        <v>865.18</v>
      </c>
      <c r="E271" s="4">
        <v>14.0</v>
      </c>
      <c r="F271" s="5">
        <v>2633.32</v>
      </c>
      <c r="G271" s="6"/>
      <c r="I271" s="5"/>
    </row>
    <row r="272" ht="15.75" customHeight="1">
      <c r="A272" s="3">
        <v>45197.0</v>
      </c>
      <c r="B272" s="4">
        <v>14436.0</v>
      </c>
      <c r="C272" s="4">
        <v>232.0</v>
      </c>
      <c r="D272" s="5">
        <v>269.6</v>
      </c>
      <c r="E272" s="4">
        <v>5.0</v>
      </c>
      <c r="F272" s="5">
        <v>633.34</v>
      </c>
      <c r="G272" s="6"/>
      <c r="I272" s="5"/>
    </row>
    <row r="273" ht="15.75" customHeight="1">
      <c r="A273" s="3">
        <v>45198.0</v>
      </c>
      <c r="B273" s="4">
        <v>27249.0</v>
      </c>
      <c r="C273" s="4">
        <v>760.0</v>
      </c>
      <c r="D273" s="5">
        <v>1056.74</v>
      </c>
      <c r="E273" s="4">
        <v>10.0</v>
      </c>
      <c r="F273" s="5">
        <v>1261.1</v>
      </c>
      <c r="G273" s="6"/>
      <c r="I273" s="5"/>
    </row>
    <row r="274" ht="15.75" customHeight="1">
      <c r="A274" s="3">
        <v>45199.0</v>
      </c>
      <c r="B274" s="4">
        <v>40345.0</v>
      </c>
      <c r="C274" s="8">
        <v>1069.0</v>
      </c>
      <c r="D274" s="5">
        <v>1603.71</v>
      </c>
      <c r="E274" s="4">
        <v>18.0</v>
      </c>
      <c r="F274" s="5">
        <v>2011.06</v>
      </c>
      <c r="G274" s="6"/>
      <c r="I274" s="5"/>
    </row>
    <row r="275" ht="15.75" customHeight="1">
      <c r="A275" s="3">
        <v>45200.0</v>
      </c>
      <c r="B275" s="4">
        <v>62184.0</v>
      </c>
      <c r="C275" s="8">
        <v>1610.0</v>
      </c>
      <c r="D275" s="5">
        <v>2560.79</v>
      </c>
      <c r="E275" s="4">
        <v>33.0</v>
      </c>
      <c r="F275" s="5">
        <v>5587.7</v>
      </c>
      <c r="G275" s="6"/>
      <c r="I275" s="5"/>
    </row>
    <row r="276" ht="15.75" customHeight="1">
      <c r="A276" s="3">
        <v>45201.0</v>
      </c>
      <c r="B276" s="4">
        <v>78606.0</v>
      </c>
      <c r="C276" s="8">
        <v>2255.0</v>
      </c>
      <c r="D276" s="5">
        <v>3429.1</v>
      </c>
      <c r="E276" s="4">
        <v>49.0</v>
      </c>
      <c r="F276" s="5">
        <v>5135.32</v>
      </c>
      <c r="G276" s="6"/>
      <c r="I276" s="5"/>
    </row>
    <row r="277" ht="15.75" customHeight="1">
      <c r="A277" s="3">
        <v>45202.0</v>
      </c>
      <c r="B277" s="4">
        <v>91632.0</v>
      </c>
      <c r="C277" s="8">
        <v>1841.0</v>
      </c>
      <c r="D277" s="5">
        <v>1878.63</v>
      </c>
      <c r="E277" s="4">
        <v>39.0</v>
      </c>
      <c r="F277" s="5">
        <v>6890.19</v>
      </c>
      <c r="G277" s="6"/>
      <c r="I277" s="5"/>
    </row>
    <row r="278" ht="15.75" customHeight="1">
      <c r="A278" s="3">
        <v>45203.0</v>
      </c>
      <c r="B278" s="4">
        <v>87605.0</v>
      </c>
      <c r="C278" s="8">
        <v>1611.0</v>
      </c>
      <c r="D278" s="5">
        <v>2321.18</v>
      </c>
      <c r="E278" s="4">
        <v>37.0</v>
      </c>
      <c r="F278" s="5">
        <v>7355.25</v>
      </c>
      <c r="G278" s="6"/>
      <c r="I278" s="5"/>
    </row>
    <row r="279" ht="15.75" customHeight="1">
      <c r="A279" s="3">
        <v>45204.0</v>
      </c>
      <c r="B279" s="4">
        <v>49315.0</v>
      </c>
      <c r="C279" s="4">
        <v>774.0</v>
      </c>
      <c r="D279" s="5">
        <v>1192.33</v>
      </c>
      <c r="E279" s="4">
        <v>16.0</v>
      </c>
      <c r="F279" s="5">
        <v>2152.17</v>
      </c>
      <c r="G279" s="6"/>
      <c r="I279" s="5"/>
    </row>
    <row r="280" ht="15.75" customHeight="1">
      <c r="A280" s="3">
        <v>45205.0</v>
      </c>
      <c r="B280" s="4">
        <v>53875.0</v>
      </c>
      <c r="C280" s="8">
        <v>1293.0</v>
      </c>
      <c r="D280" s="5">
        <v>2456.7</v>
      </c>
      <c r="E280" s="4">
        <v>22.0</v>
      </c>
      <c r="F280" s="5">
        <v>4208.72</v>
      </c>
      <c r="G280" s="6"/>
      <c r="I280" s="5"/>
    </row>
    <row r="281" ht="15.75" customHeight="1">
      <c r="A281" s="3">
        <v>45206.0</v>
      </c>
      <c r="B281" s="4">
        <v>18309.0</v>
      </c>
      <c r="C281" s="4">
        <v>395.0</v>
      </c>
      <c r="D281" s="5">
        <v>458.75</v>
      </c>
      <c r="E281" s="4">
        <v>5.0</v>
      </c>
      <c r="F281" s="5">
        <v>962.55</v>
      </c>
      <c r="G281" s="6"/>
      <c r="I281" s="5"/>
    </row>
    <row r="282" ht="15.75" customHeight="1">
      <c r="A282" s="3">
        <v>45207.0</v>
      </c>
      <c r="B282" s="4">
        <v>83535.0</v>
      </c>
      <c r="C282" s="8">
        <v>1904.0</v>
      </c>
      <c r="D282" s="5">
        <v>3523.5</v>
      </c>
      <c r="E282" s="4">
        <v>40.0</v>
      </c>
      <c r="F282" s="5">
        <v>5217.07</v>
      </c>
      <c r="G282" s="6"/>
      <c r="I282" s="5"/>
    </row>
    <row r="283" ht="15.75" customHeight="1">
      <c r="A283" s="3">
        <v>45208.0</v>
      </c>
      <c r="B283" s="4">
        <v>66799.0</v>
      </c>
      <c r="C283" s="8">
        <v>1162.0</v>
      </c>
      <c r="D283" s="5">
        <v>1464.5</v>
      </c>
      <c r="E283" s="4">
        <v>14.0</v>
      </c>
      <c r="F283" s="5">
        <v>2455.36</v>
      </c>
      <c r="G283" s="6"/>
      <c r="I283" s="5"/>
    </row>
    <row r="284" ht="15.75" customHeight="1">
      <c r="A284" s="3">
        <v>45209.0</v>
      </c>
      <c r="B284" s="4">
        <v>87053.0</v>
      </c>
      <c r="C284" s="8">
        <v>1488.0</v>
      </c>
      <c r="D284" s="5">
        <v>1771.44</v>
      </c>
      <c r="E284" s="4">
        <v>36.0</v>
      </c>
      <c r="F284" s="5">
        <v>4631.8</v>
      </c>
      <c r="G284" s="6"/>
      <c r="I284" s="5"/>
    </row>
    <row r="285" ht="15.75" customHeight="1">
      <c r="A285" s="3">
        <v>45210.0</v>
      </c>
      <c r="B285" s="4">
        <v>65507.0</v>
      </c>
      <c r="C285" s="8">
        <v>1074.0</v>
      </c>
      <c r="D285" s="5">
        <v>1439.58</v>
      </c>
      <c r="E285" s="4">
        <v>18.0</v>
      </c>
      <c r="F285" s="5">
        <v>2516.8</v>
      </c>
      <c r="G285" s="6"/>
      <c r="I285" s="5"/>
    </row>
    <row r="286" ht="15.75" customHeight="1">
      <c r="A286" s="3">
        <v>45211.0</v>
      </c>
      <c r="B286" s="4">
        <v>18907.0</v>
      </c>
      <c r="C286" s="4">
        <v>274.0</v>
      </c>
      <c r="D286" s="5">
        <v>282.37</v>
      </c>
      <c r="E286" s="4">
        <v>3.0</v>
      </c>
      <c r="F286" s="5">
        <v>496.9</v>
      </c>
      <c r="G286" s="6"/>
      <c r="I286" s="5"/>
    </row>
    <row r="287" ht="15.75" customHeight="1">
      <c r="A287" s="3">
        <v>45212.0</v>
      </c>
      <c r="B287" s="4">
        <v>88312.0</v>
      </c>
      <c r="C287" s="8">
        <v>2508.0</v>
      </c>
      <c r="D287" s="5">
        <v>2708.7</v>
      </c>
      <c r="E287" s="4">
        <v>49.0</v>
      </c>
      <c r="F287" s="5">
        <v>6138.98</v>
      </c>
      <c r="G287" s="6"/>
      <c r="I287" s="5"/>
    </row>
    <row r="288" ht="15.75" customHeight="1">
      <c r="A288" s="3">
        <v>45213.0</v>
      </c>
      <c r="B288" s="4">
        <v>33076.0</v>
      </c>
      <c r="C288" s="4">
        <v>873.0</v>
      </c>
      <c r="D288" s="5">
        <v>1336.0</v>
      </c>
      <c r="E288" s="4">
        <v>16.0</v>
      </c>
      <c r="F288" s="5">
        <v>2351.37</v>
      </c>
      <c r="G288" s="6"/>
      <c r="I288" s="5"/>
    </row>
    <row r="289" ht="15.75" customHeight="1">
      <c r="A289" s="3">
        <v>45214.0</v>
      </c>
      <c r="B289" s="4">
        <v>55614.0</v>
      </c>
      <c r="C289" s="8">
        <v>1134.0</v>
      </c>
      <c r="D289" s="5">
        <v>1781.2</v>
      </c>
      <c r="E289" s="4">
        <v>24.0</v>
      </c>
      <c r="F289" s="5">
        <v>4127.4</v>
      </c>
      <c r="G289" s="6"/>
      <c r="I289" s="5"/>
    </row>
    <row r="290" ht="15.75" customHeight="1">
      <c r="A290" s="3">
        <v>45215.0</v>
      </c>
      <c r="B290" s="4">
        <v>54210.0</v>
      </c>
      <c r="C290" s="4">
        <v>861.0</v>
      </c>
      <c r="D290" s="5">
        <v>948.13</v>
      </c>
      <c r="E290" s="4">
        <v>15.0</v>
      </c>
      <c r="F290" s="5">
        <v>2480.57</v>
      </c>
      <c r="G290" s="6"/>
      <c r="I290" s="5"/>
    </row>
    <row r="291" ht="15.75" customHeight="1">
      <c r="A291" s="3">
        <v>45216.0</v>
      </c>
      <c r="B291" s="4">
        <v>42018.0</v>
      </c>
      <c r="C291" s="4">
        <v>722.0</v>
      </c>
      <c r="D291" s="5">
        <v>1308.1</v>
      </c>
      <c r="E291" s="4">
        <v>11.0</v>
      </c>
      <c r="F291" s="5">
        <v>1241.04</v>
      </c>
      <c r="G291" s="6"/>
      <c r="I291" s="5"/>
    </row>
    <row r="292" ht="15.75" customHeight="1">
      <c r="A292" s="3">
        <v>45217.0</v>
      </c>
      <c r="B292" s="4">
        <v>23750.0</v>
      </c>
      <c r="C292" s="4">
        <v>315.0</v>
      </c>
      <c r="D292" s="5">
        <v>442.22</v>
      </c>
      <c r="E292" s="4">
        <v>7.0</v>
      </c>
      <c r="F292" s="5">
        <v>993.58</v>
      </c>
      <c r="G292" s="6"/>
      <c r="I292" s="5"/>
    </row>
    <row r="293" ht="15.75" customHeight="1">
      <c r="A293" s="3">
        <v>45218.0</v>
      </c>
      <c r="B293" s="4">
        <v>16272.0</v>
      </c>
      <c r="C293" s="4">
        <v>235.0</v>
      </c>
      <c r="D293" s="5">
        <v>342.11</v>
      </c>
      <c r="E293" s="4">
        <v>3.0</v>
      </c>
      <c r="F293" s="5">
        <v>603.88</v>
      </c>
      <c r="G293" s="6"/>
      <c r="I293" s="5"/>
    </row>
    <row r="294" ht="15.75" customHeight="1">
      <c r="A294" s="3">
        <v>45219.0</v>
      </c>
      <c r="B294" s="4">
        <v>83037.0</v>
      </c>
      <c r="C294" s="8">
        <v>1826.0</v>
      </c>
      <c r="D294" s="5">
        <v>2027.76</v>
      </c>
      <c r="E294" s="4">
        <v>36.0</v>
      </c>
      <c r="F294" s="5">
        <v>5151.62</v>
      </c>
      <c r="G294" s="6"/>
      <c r="I294" s="5"/>
    </row>
    <row r="295" ht="15.75" customHeight="1">
      <c r="A295" s="3">
        <v>45220.0</v>
      </c>
      <c r="B295" s="4">
        <v>85760.0</v>
      </c>
      <c r="C295" s="8">
        <v>1989.0</v>
      </c>
      <c r="D295" s="5">
        <v>2865.07</v>
      </c>
      <c r="E295" s="4">
        <v>37.0</v>
      </c>
      <c r="F295" s="5">
        <v>3757.82</v>
      </c>
      <c r="G295" s="6"/>
      <c r="I295" s="5"/>
    </row>
    <row r="296" ht="15.75" customHeight="1">
      <c r="A296" s="3">
        <v>45221.0</v>
      </c>
      <c r="B296" s="4">
        <v>59118.0</v>
      </c>
      <c r="C296" s="4">
        <v>922.0</v>
      </c>
      <c r="D296" s="5">
        <v>1254.24</v>
      </c>
      <c r="E296" s="4">
        <v>14.0</v>
      </c>
      <c r="F296" s="5">
        <v>1607.19</v>
      </c>
      <c r="G296" s="6"/>
      <c r="I296" s="5"/>
    </row>
    <row r="297" ht="15.75" customHeight="1">
      <c r="A297" s="3">
        <v>45222.0</v>
      </c>
      <c r="B297" s="4">
        <v>59548.0</v>
      </c>
      <c r="C297" s="4">
        <v>869.0</v>
      </c>
      <c r="D297" s="5">
        <v>869.4</v>
      </c>
      <c r="E297" s="4">
        <v>18.0</v>
      </c>
      <c r="F297" s="5">
        <v>3343.37</v>
      </c>
      <c r="G297" s="6"/>
      <c r="I297" s="5"/>
    </row>
    <row r="298" ht="15.75" customHeight="1">
      <c r="A298" s="3">
        <v>45223.0</v>
      </c>
      <c r="B298" s="4">
        <v>18054.0</v>
      </c>
      <c r="C298" s="4">
        <v>530.0</v>
      </c>
      <c r="D298" s="5">
        <v>615.71</v>
      </c>
      <c r="E298" s="4">
        <v>11.0</v>
      </c>
      <c r="F298" s="5">
        <v>1501.92</v>
      </c>
      <c r="G298" s="6"/>
      <c r="I298" s="5"/>
    </row>
    <row r="299" ht="15.75" customHeight="1">
      <c r="A299" s="3">
        <v>45224.0</v>
      </c>
      <c r="B299" s="4">
        <v>80909.0</v>
      </c>
      <c r="C299" s="8">
        <v>1213.0</v>
      </c>
      <c r="D299" s="5">
        <v>1796.17</v>
      </c>
      <c r="E299" s="4">
        <v>27.0</v>
      </c>
      <c r="F299" s="5">
        <v>3058.24</v>
      </c>
      <c r="G299" s="6"/>
      <c r="I299" s="5"/>
    </row>
    <row r="300" ht="15.75" customHeight="1">
      <c r="A300" s="3">
        <v>45225.0</v>
      </c>
      <c r="B300" s="4">
        <v>18941.0</v>
      </c>
      <c r="C300" s="4">
        <v>465.0</v>
      </c>
      <c r="D300" s="5">
        <v>465.94</v>
      </c>
      <c r="E300" s="4">
        <v>8.0</v>
      </c>
      <c r="F300" s="5">
        <v>1437.68</v>
      </c>
      <c r="G300" s="6"/>
      <c r="I300" s="5"/>
    </row>
    <row r="301" ht="15.75" customHeight="1">
      <c r="A301" s="3">
        <v>45226.0</v>
      </c>
      <c r="B301" s="4">
        <v>50637.0</v>
      </c>
      <c r="C301" s="4">
        <v>896.0</v>
      </c>
      <c r="D301" s="5">
        <v>914.2</v>
      </c>
      <c r="E301" s="4">
        <v>15.0</v>
      </c>
      <c r="F301" s="5">
        <v>2666.96</v>
      </c>
      <c r="G301" s="6"/>
      <c r="I301" s="5"/>
    </row>
    <row r="302" ht="15.75" customHeight="1">
      <c r="A302" s="3">
        <v>45227.0</v>
      </c>
      <c r="B302" s="4">
        <v>55842.0</v>
      </c>
      <c r="C302" s="4">
        <v>988.0</v>
      </c>
      <c r="D302" s="5">
        <v>1176.2</v>
      </c>
      <c r="E302" s="4">
        <v>21.0</v>
      </c>
      <c r="F302" s="5">
        <v>3081.25</v>
      </c>
      <c r="G302" s="6"/>
      <c r="I302" s="5"/>
    </row>
    <row r="303" ht="15.75" customHeight="1">
      <c r="A303" s="3">
        <v>45228.0</v>
      </c>
      <c r="B303" s="4">
        <v>98340.0</v>
      </c>
      <c r="C303" s="8">
        <v>1868.0</v>
      </c>
      <c r="D303" s="5">
        <v>3101.64</v>
      </c>
      <c r="E303" s="4">
        <v>31.0</v>
      </c>
      <c r="F303" s="5">
        <v>4218.24</v>
      </c>
      <c r="G303" s="6"/>
      <c r="I303" s="5"/>
    </row>
    <row r="304" ht="15.75" customHeight="1">
      <c r="A304" s="3">
        <v>45229.0</v>
      </c>
      <c r="B304" s="4">
        <v>64827.0</v>
      </c>
      <c r="C304" s="8">
        <v>1199.0</v>
      </c>
      <c r="D304" s="5">
        <v>1499.12</v>
      </c>
      <c r="E304" s="4">
        <v>22.0</v>
      </c>
      <c r="F304" s="5">
        <v>4193.71</v>
      </c>
      <c r="G304" s="6"/>
      <c r="I304" s="5"/>
    </row>
    <row r="305" ht="15.75" customHeight="1">
      <c r="A305" s="3">
        <v>45230.0</v>
      </c>
      <c r="B305" s="4">
        <v>47590.0</v>
      </c>
      <c r="C305" s="8">
        <v>1403.0</v>
      </c>
      <c r="D305" s="5">
        <v>1853.15</v>
      </c>
      <c r="E305" s="4">
        <v>30.0</v>
      </c>
      <c r="F305" s="5">
        <v>3929.95</v>
      </c>
      <c r="G305" s="6"/>
      <c r="I305" s="5"/>
    </row>
    <row r="306" ht="15.75" customHeight="1">
      <c r="A306" s="3">
        <v>45231.0</v>
      </c>
      <c r="B306" s="4">
        <v>17032.0</v>
      </c>
      <c r="C306" s="4">
        <v>454.0</v>
      </c>
      <c r="D306" s="5">
        <v>727.6</v>
      </c>
      <c r="E306" s="4">
        <v>8.0</v>
      </c>
      <c r="F306" s="5">
        <v>1440.84</v>
      </c>
      <c r="G306" s="6"/>
      <c r="I306" s="5"/>
    </row>
    <row r="307" ht="15.75" customHeight="1">
      <c r="A307" s="3">
        <v>45232.0</v>
      </c>
      <c r="B307" s="4">
        <v>98321.0</v>
      </c>
      <c r="C307" s="8">
        <v>1877.0</v>
      </c>
      <c r="D307" s="5">
        <v>2272.29</v>
      </c>
      <c r="E307" s="4">
        <v>26.0</v>
      </c>
      <c r="F307" s="5">
        <v>4660.27</v>
      </c>
      <c r="G307" s="6"/>
      <c r="I307" s="5"/>
    </row>
    <row r="308" ht="15.75" customHeight="1">
      <c r="A308" s="3">
        <v>45233.0</v>
      </c>
      <c r="B308" s="4">
        <v>13212.0</v>
      </c>
      <c r="C308" s="4">
        <v>221.0</v>
      </c>
      <c r="D308" s="5">
        <v>370.67</v>
      </c>
      <c r="E308" s="4">
        <v>4.0</v>
      </c>
      <c r="F308" s="5">
        <v>769.1</v>
      </c>
      <c r="G308" s="6"/>
      <c r="I308" s="5"/>
    </row>
    <row r="309" ht="15.75" customHeight="1">
      <c r="A309" s="3">
        <v>45234.0</v>
      </c>
      <c r="B309" s="4">
        <v>12657.0</v>
      </c>
      <c r="C309" s="4">
        <v>230.0</v>
      </c>
      <c r="D309" s="5">
        <v>456.1</v>
      </c>
      <c r="E309" s="4">
        <v>4.0</v>
      </c>
      <c r="F309" s="5">
        <v>554.52</v>
      </c>
      <c r="G309" s="6"/>
      <c r="I309" s="5"/>
    </row>
    <row r="310" ht="15.75" customHeight="1">
      <c r="A310" s="3">
        <v>45235.0</v>
      </c>
      <c r="B310" s="4">
        <v>19896.0</v>
      </c>
      <c r="C310" s="4">
        <v>493.0</v>
      </c>
      <c r="D310" s="5">
        <v>690.78</v>
      </c>
      <c r="E310" s="4">
        <v>11.0</v>
      </c>
      <c r="F310" s="5">
        <v>1628.49</v>
      </c>
      <c r="G310" s="6"/>
      <c r="I310" s="5"/>
    </row>
    <row r="311" ht="15.75" customHeight="1">
      <c r="A311" s="3">
        <v>45236.0</v>
      </c>
      <c r="B311" s="4">
        <v>88487.0</v>
      </c>
      <c r="C311" s="8">
        <v>2610.0</v>
      </c>
      <c r="D311" s="5">
        <v>2714.78</v>
      </c>
      <c r="E311" s="4">
        <v>59.0</v>
      </c>
      <c r="F311" s="5">
        <v>11140.0</v>
      </c>
      <c r="G311" s="6"/>
      <c r="I311" s="5"/>
    </row>
    <row r="312" ht="15.75" customHeight="1">
      <c r="A312" s="3">
        <v>45237.0</v>
      </c>
      <c r="B312" s="4">
        <v>35632.0</v>
      </c>
      <c r="C312" s="4">
        <v>694.0</v>
      </c>
      <c r="D312" s="5">
        <v>1202.04</v>
      </c>
      <c r="E312" s="4">
        <v>12.0</v>
      </c>
      <c r="F312" s="5">
        <v>1638.39</v>
      </c>
      <c r="G312" s="6"/>
      <c r="I312" s="5"/>
    </row>
    <row r="313" ht="15.75" customHeight="1">
      <c r="A313" s="3">
        <v>45238.0</v>
      </c>
      <c r="B313" s="4">
        <v>94021.0</v>
      </c>
      <c r="C313" s="8">
        <v>2171.0</v>
      </c>
      <c r="D313" s="5">
        <v>2497.66</v>
      </c>
      <c r="E313" s="4">
        <v>52.0</v>
      </c>
      <c r="F313" s="5">
        <v>9002.9</v>
      </c>
      <c r="G313" s="6"/>
      <c r="I313" s="5"/>
    </row>
    <row r="314" ht="15.75" customHeight="1">
      <c r="A314" s="3">
        <v>45239.0</v>
      </c>
      <c r="B314" s="4">
        <v>68712.0</v>
      </c>
      <c r="C314" s="8">
        <v>1635.0</v>
      </c>
      <c r="D314" s="5">
        <v>2453.01</v>
      </c>
      <c r="E314" s="4">
        <v>39.0</v>
      </c>
      <c r="F314" s="5">
        <v>6527.15</v>
      </c>
      <c r="G314" s="6"/>
      <c r="I314" s="5"/>
    </row>
    <row r="315" ht="15.75" customHeight="1">
      <c r="A315" s="3">
        <v>45240.0</v>
      </c>
      <c r="B315" s="4">
        <v>20540.0</v>
      </c>
      <c r="C315" s="4">
        <v>501.0</v>
      </c>
      <c r="D315" s="5">
        <v>536.25</v>
      </c>
      <c r="E315" s="4">
        <v>10.0</v>
      </c>
      <c r="F315" s="5">
        <v>1571.19</v>
      </c>
      <c r="G315" s="6"/>
      <c r="I315" s="5"/>
    </row>
    <row r="316" ht="15.75" customHeight="1">
      <c r="A316" s="3">
        <v>45241.0</v>
      </c>
      <c r="B316" s="4">
        <v>35478.0</v>
      </c>
      <c r="C316" s="4">
        <v>418.0</v>
      </c>
      <c r="D316" s="5">
        <v>418.64</v>
      </c>
      <c r="E316" s="4">
        <v>10.0</v>
      </c>
      <c r="F316" s="5">
        <v>1321.69</v>
      </c>
      <c r="G316" s="6"/>
      <c r="I316" s="5"/>
    </row>
    <row r="317" ht="15.75" customHeight="1">
      <c r="A317" s="3">
        <v>45242.0</v>
      </c>
      <c r="B317" s="4">
        <v>53934.0</v>
      </c>
      <c r="C317" s="4">
        <v>728.0</v>
      </c>
      <c r="D317" s="5">
        <v>1390.68</v>
      </c>
      <c r="E317" s="4">
        <v>15.0</v>
      </c>
      <c r="F317" s="5">
        <v>2980.44</v>
      </c>
      <c r="G317" s="6"/>
      <c r="I317" s="5"/>
    </row>
    <row r="318" ht="15.75" customHeight="1">
      <c r="A318" s="3">
        <v>45243.0</v>
      </c>
      <c r="B318" s="4">
        <v>93139.0</v>
      </c>
      <c r="C318" s="8">
        <v>2393.0</v>
      </c>
      <c r="D318" s="5">
        <v>2704.84</v>
      </c>
      <c r="E318" s="4">
        <v>30.0</v>
      </c>
      <c r="F318" s="5">
        <v>3427.5</v>
      </c>
      <c r="G318" s="6"/>
      <c r="I318" s="5"/>
    </row>
    <row r="319" ht="15.75" customHeight="1">
      <c r="A319" s="3">
        <v>45244.0</v>
      </c>
      <c r="B319" s="4">
        <v>76825.0</v>
      </c>
      <c r="C319" s="8">
        <v>1267.0</v>
      </c>
      <c r="D319" s="5">
        <v>2053.53</v>
      </c>
      <c r="E319" s="4">
        <v>19.0</v>
      </c>
      <c r="F319" s="5">
        <v>2737.16</v>
      </c>
      <c r="G319" s="6"/>
      <c r="I319" s="5"/>
    </row>
    <row r="320" ht="15.75" customHeight="1">
      <c r="A320" s="3">
        <v>45245.0</v>
      </c>
      <c r="B320" s="4">
        <v>69812.0</v>
      </c>
      <c r="C320" s="8">
        <v>1172.0</v>
      </c>
      <c r="D320" s="5">
        <v>1337.03</v>
      </c>
      <c r="E320" s="4">
        <v>18.0</v>
      </c>
      <c r="F320" s="5">
        <v>2186.65</v>
      </c>
      <c r="G320" s="6"/>
      <c r="I320" s="5"/>
    </row>
    <row r="321" ht="15.75" customHeight="1">
      <c r="A321" s="3">
        <v>45246.0</v>
      </c>
      <c r="B321" s="4">
        <v>55567.0</v>
      </c>
      <c r="C321" s="4">
        <v>566.0</v>
      </c>
      <c r="D321" s="5">
        <v>725.48</v>
      </c>
      <c r="E321" s="4">
        <v>12.0</v>
      </c>
      <c r="F321" s="5">
        <v>1579.91</v>
      </c>
      <c r="G321" s="6"/>
      <c r="I321" s="5"/>
    </row>
    <row r="322" ht="15.75" customHeight="1">
      <c r="A322" s="3">
        <v>45247.0</v>
      </c>
      <c r="B322" s="4">
        <v>71139.0</v>
      </c>
      <c r="C322" s="8">
        <v>2027.0</v>
      </c>
      <c r="D322" s="5">
        <v>2534.32</v>
      </c>
      <c r="E322" s="4">
        <v>50.0</v>
      </c>
      <c r="F322" s="5">
        <v>6865.8</v>
      </c>
      <c r="G322" s="6"/>
      <c r="I322" s="5"/>
    </row>
    <row r="323" ht="15.75" customHeight="1">
      <c r="A323" s="3">
        <v>45248.0</v>
      </c>
      <c r="B323" s="4">
        <v>72501.0</v>
      </c>
      <c r="C323" s="8">
        <v>1044.0</v>
      </c>
      <c r="D323" s="5">
        <v>1586.9</v>
      </c>
      <c r="E323" s="4">
        <v>23.0</v>
      </c>
      <c r="F323" s="5">
        <v>3657.18</v>
      </c>
      <c r="G323" s="6"/>
      <c r="I323" s="5"/>
    </row>
    <row r="324" ht="15.75" customHeight="1">
      <c r="A324" s="3">
        <v>45249.0</v>
      </c>
      <c r="B324" s="4">
        <v>60693.0</v>
      </c>
      <c r="C324" s="4">
        <v>716.0</v>
      </c>
      <c r="D324" s="5">
        <v>1260.47</v>
      </c>
      <c r="E324" s="4">
        <v>11.0</v>
      </c>
      <c r="F324" s="5">
        <v>1628.73</v>
      </c>
      <c r="G324" s="6"/>
      <c r="I324" s="5"/>
    </row>
    <row r="325" ht="15.75" customHeight="1">
      <c r="A325" s="3">
        <v>45250.0</v>
      </c>
      <c r="B325" s="4">
        <v>76237.0</v>
      </c>
      <c r="C325" s="8">
        <v>1478.0</v>
      </c>
      <c r="D325" s="5">
        <v>1819.16</v>
      </c>
      <c r="E325" s="4">
        <v>34.0</v>
      </c>
      <c r="F325" s="5">
        <v>5918.06</v>
      </c>
      <c r="G325" s="6"/>
      <c r="I325" s="5"/>
    </row>
    <row r="326" ht="15.75" customHeight="1">
      <c r="A326" s="3">
        <v>45251.0</v>
      </c>
      <c r="B326" s="4">
        <v>25965.0</v>
      </c>
      <c r="C326" s="4">
        <v>262.0</v>
      </c>
      <c r="D326" s="5">
        <v>422.21</v>
      </c>
      <c r="E326" s="4">
        <v>6.0</v>
      </c>
      <c r="F326" s="5">
        <v>1199.46</v>
      </c>
      <c r="G326" s="6"/>
      <c r="I326" s="5"/>
    </row>
    <row r="327" ht="15.75" customHeight="1">
      <c r="A327" s="3">
        <v>45252.0</v>
      </c>
      <c r="B327" s="4">
        <v>97709.0</v>
      </c>
      <c r="C327" s="8">
        <v>2335.0</v>
      </c>
      <c r="D327" s="5">
        <v>3502.86</v>
      </c>
      <c r="E327" s="4">
        <v>34.0</v>
      </c>
      <c r="F327" s="5">
        <v>4147.4</v>
      </c>
      <c r="G327" s="6"/>
      <c r="I327" s="5"/>
    </row>
    <row r="328" ht="15.75" customHeight="1">
      <c r="A328" s="3">
        <v>45253.0</v>
      </c>
      <c r="B328" s="4">
        <v>62949.0</v>
      </c>
      <c r="C328" s="4">
        <v>755.0</v>
      </c>
      <c r="D328" s="5">
        <v>1133.08</v>
      </c>
      <c r="E328" s="4">
        <v>9.0</v>
      </c>
      <c r="F328" s="5">
        <v>1730.74</v>
      </c>
      <c r="G328" s="6"/>
      <c r="I328" s="5"/>
    </row>
    <row r="329" ht="15.75" customHeight="1">
      <c r="A329" s="3">
        <v>45254.0</v>
      </c>
      <c r="B329" s="4">
        <v>49105.0</v>
      </c>
      <c r="C329" s="4">
        <v>756.0</v>
      </c>
      <c r="D329" s="5">
        <v>1194.82</v>
      </c>
      <c r="E329" s="4">
        <v>10.0</v>
      </c>
      <c r="F329" s="5">
        <v>1560.53</v>
      </c>
      <c r="G329" s="6"/>
      <c r="I329" s="5"/>
    </row>
    <row r="330" ht="15.75" customHeight="1">
      <c r="A330" s="3">
        <v>45255.0</v>
      </c>
      <c r="B330" s="4">
        <v>17204.0</v>
      </c>
      <c r="C330" s="4">
        <v>228.0</v>
      </c>
      <c r="D330" s="5">
        <v>377.54</v>
      </c>
      <c r="E330" s="4">
        <v>3.0</v>
      </c>
      <c r="F330" s="5">
        <v>604.16</v>
      </c>
      <c r="G330" s="6"/>
      <c r="I330" s="5"/>
    </row>
    <row r="331" ht="15.75" customHeight="1">
      <c r="A331" s="3">
        <v>45256.0</v>
      </c>
      <c r="B331" s="4">
        <v>16782.0</v>
      </c>
      <c r="C331" s="4">
        <v>174.0</v>
      </c>
      <c r="D331" s="5">
        <v>314.15</v>
      </c>
      <c r="E331" s="4">
        <v>3.0</v>
      </c>
      <c r="F331" s="5">
        <v>399.26</v>
      </c>
      <c r="G331" s="6"/>
      <c r="I331" s="5"/>
    </row>
    <row r="332" ht="15.75" customHeight="1">
      <c r="A332" s="3">
        <v>45257.0</v>
      </c>
      <c r="B332" s="4">
        <v>14376.0</v>
      </c>
      <c r="C332" s="4">
        <v>245.0</v>
      </c>
      <c r="D332" s="5">
        <v>373.66</v>
      </c>
      <c r="E332" s="4">
        <v>3.0</v>
      </c>
      <c r="F332" s="5">
        <v>605.72</v>
      </c>
      <c r="G332" s="6"/>
      <c r="I332" s="5"/>
    </row>
    <row r="333" ht="15.75" customHeight="1">
      <c r="A333" s="3">
        <v>45258.0</v>
      </c>
      <c r="B333" s="4">
        <v>78944.0</v>
      </c>
      <c r="C333" s="8">
        <v>1839.0</v>
      </c>
      <c r="D333" s="5">
        <v>3494.85</v>
      </c>
      <c r="E333" s="4">
        <v>24.0</v>
      </c>
      <c r="F333" s="5">
        <v>2597.96</v>
      </c>
      <c r="G333" s="6"/>
      <c r="I333" s="5"/>
    </row>
    <row r="334" ht="15.75" customHeight="1">
      <c r="A334" s="3">
        <v>45259.0</v>
      </c>
      <c r="B334" s="4">
        <v>26974.0</v>
      </c>
      <c r="C334" s="4">
        <v>679.0</v>
      </c>
      <c r="D334" s="5">
        <v>1128.37</v>
      </c>
      <c r="E334" s="4">
        <v>10.0</v>
      </c>
      <c r="F334" s="5">
        <v>1806.49</v>
      </c>
      <c r="G334" s="6"/>
      <c r="I334" s="5"/>
    </row>
    <row r="335" ht="15.75" customHeight="1">
      <c r="A335" s="3">
        <v>45260.0</v>
      </c>
      <c r="B335" s="4">
        <v>38378.0</v>
      </c>
      <c r="C335" s="8">
        <v>1013.0</v>
      </c>
      <c r="D335" s="5">
        <v>1610.95</v>
      </c>
      <c r="E335" s="4">
        <v>18.0</v>
      </c>
      <c r="F335" s="5">
        <v>2939.64</v>
      </c>
      <c r="G335" s="6"/>
      <c r="I335" s="5"/>
    </row>
    <row r="336" ht="15.75" customHeight="1">
      <c r="A336" s="3">
        <v>45261.0</v>
      </c>
      <c r="B336" s="8">
        <v>99954.0</v>
      </c>
      <c r="C336" s="4">
        <v>2447.0</v>
      </c>
      <c r="D336" s="5">
        <v>2938.64</v>
      </c>
      <c r="E336" s="4">
        <v>31.0</v>
      </c>
      <c r="F336" s="5">
        <v>5538.78</v>
      </c>
      <c r="G336" s="6"/>
      <c r="I336" s="5"/>
    </row>
    <row r="337" ht="15.75" customHeight="1">
      <c r="A337" s="3">
        <v>45262.0</v>
      </c>
      <c r="B337" s="8">
        <v>92967.0</v>
      </c>
      <c r="C337" s="4">
        <v>1877.0</v>
      </c>
      <c r="D337" s="5">
        <v>2723.0</v>
      </c>
      <c r="E337" s="4">
        <v>34.0</v>
      </c>
      <c r="F337" s="5">
        <v>6672.67</v>
      </c>
      <c r="G337" s="6"/>
      <c r="I337" s="5"/>
    </row>
    <row r="338" ht="15.75" customHeight="1">
      <c r="A338" s="3">
        <v>45263.0</v>
      </c>
      <c r="B338" s="8">
        <v>57849.0</v>
      </c>
      <c r="C338" s="4">
        <v>670.0</v>
      </c>
      <c r="D338" s="5">
        <v>1234.72</v>
      </c>
      <c r="E338" s="4">
        <v>12.0</v>
      </c>
      <c r="F338" s="5">
        <v>2625.34</v>
      </c>
      <c r="G338" s="6"/>
      <c r="I338" s="5"/>
    </row>
    <row r="339" ht="15.75" customHeight="1">
      <c r="A339" s="3">
        <v>45264.0</v>
      </c>
      <c r="B339" s="8">
        <v>106053.0</v>
      </c>
      <c r="C339" s="4">
        <v>2767.0</v>
      </c>
      <c r="D339" s="5">
        <v>4677.88</v>
      </c>
      <c r="E339" s="4">
        <v>62.0</v>
      </c>
      <c r="F339" s="5">
        <v>11381.39</v>
      </c>
      <c r="G339" s="6"/>
      <c r="I339" s="5"/>
    </row>
    <row r="340" ht="15.75" customHeight="1">
      <c r="A340" s="3">
        <v>45265.0</v>
      </c>
      <c r="B340" s="8">
        <v>76114.0</v>
      </c>
      <c r="C340" s="4">
        <v>768.0</v>
      </c>
      <c r="D340" s="5">
        <v>1183.87</v>
      </c>
      <c r="E340" s="4">
        <v>19.0</v>
      </c>
      <c r="F340" s="5">
        <v>2306.25</v>
      </c>
      <c r="G340" s="6"/>
      <c r="I340" s="5"/>
    </row>
    <row r="341" ht="15.75" customHeight="1">
      <c r="A341" s="3">
        <v>45266.0</v>
      </c>
      <c r="B341" s="8">
        <v>56666.0</v>
      </c>
      <c r="C341" s="4">
        <v>1688.0</v>
      </c>
      <c r="D341" s="5">
        <v>2684.94</v>
      </c>
      <c r="E341" s="4">
        <v>23.0</v>
      </c>
      <c r="F341" s="5">
        <v>4456.33</v>
      </c>
      <c r="G341" s="6"/>
      <c r="I341" s="5"/>
    </row>
    <row r="342" ht="15.75" customHeight="1">
      <c r="A342" s="3">
        <v>45267.0</v>
      </c>
      <c r="B342" s="8">
        <v>71577.0</v>
      </c>
      <c r="C342" s="4">
        <v>1488.0</v>
      </c>
      <c r="D342" s="5">
        <v>2262.97</v>
      </c>
      <c r="E342" s="4">
        <v>30.0</v>
      </c>
      <c r="F342" s="5">
        <v>4513.3</v>
      </c>
      <c r="G342" s="6"/>
      <c r="I342" s="5"/>
    </row>
    <row r="343" ht="15.75" customHeight="1">
      <c r="A343" s="3">
        <v>45268.0</v>
      </c>
      <c r="B343" s="8">
        <v>106918.0</v>
      </c>
      <c r="C343" s="4">
        <v>1666.0</v>
      </c>
      <c r="D343" s="5">
        <v>3319.16</v>
      </c>
      <c r="E343" s="4">
        <v>32.0</v>
      </c>
      <c r="F343" s="5">
        <v>6472.86</v>
      </c>
      <c r="G343" s="6"/>
      <c r="I343" s="5"/>
    </row>
    <row r="344" ht="15.75" customHeight="1">
      <c r="A344" s="3">
        <v>45269.0</v>
      </c>
      <c r="B344" s="8">
        <v>71077.0</v>
      </c>
      <c r="C344" s="4">
        <v>1640.0</v>
      </c>
      <c r="D344" s="5">
        <v>2709.1</v>
      </c>
      <c r="E344" s="4">
        <v>37.0</v>
      </c>
      <c r="F344" s="5">
        <v>4668.68</v>
      </c>
      <c r="G344" s="6"/>
      <c r="I344" s="5"/>
    </row>
    <row r="345" ht="15.75" customHeight="1">
      <c r="A345" s="3">
        <v>45270.0</v>
      </c>
      <c r="B345" s="8">
        <v>44348.0</v>
      </c>
      <c r="C345" s="4">
        <v>828.0</v>
      </c>
      <c r="D345" s="5">
        <v>1559.09</v>
      </c>
      <c r="E345" s="4">
        <v>12.0</v>
      </c>
      <c r="F345" s="5">
        <v>1512.65</v>
      </c>
      <c r="G345" s="6"/>
      <c r="I345" s="5"/>
    </row>
    <row r="346" ht="15.75" customHeight="1">
      <c r="A346" s="3">
        <v>45271.0</v>
      </c>
      <c r="B346" s="8">
        <v>64166.0</v>
      </c>
      <c r="C346" s="4">
        <v>756.0</v>
      </c>
      <c r="D346" s="5">
        <v>1484.03</v>
      </c>
      <c r="E346" s="4">
        <v>9.0</v>
      </c>
      <c r="F346" s="5">
        <v>1864.73</v>
      </c>
      <c r="G346" s="6"/>
      <c r="I346" s="5"/>
    </row>
    <row r="347" ht="15.75" customHeight="1">
      <c r="A347" s="3">
        <v>45272.0</v>
      </c>
      <c r="B347" s="8">
        <v>34386.0</v>
      </c>
      <c r="C347" s="4">
        <v>343.0</v>
      </c>
      <c r="D347" s="5">
        <v>587.99</v>
      </c>
      <c r="E347" s="4">
        <v>4.0</v>
      </c>
      <c r="F347" s="5">
        <v>570.53</v>
      </c>
      <c r="G347" s="6"/>
      <c r="I347" s="5"/>
    </row>
    <row r="348" ht="15.75" customHeight="1">
      <c r="A348" s="3">
        <v>45273.0</v>
      </c>
      <c r="B348" s="8">
        <v>110153.0</v>
      </c>
      <c r="C348" s="4">
        <v>2224.0</v>
      </c>
      <c r="D348" s="5">
        <v>3293.13</v>
      </c>
      <c r="E348" s="4">
        <v>50.0</v>
      </c>
      <c r="F348" s="5">
        <v>6037.11</v>
      </c>
      <c r="G348" s="6"/>
      <c r="I348" s="5"/>
    </row>
    <row r="349" ht="15.75" customHeight="1">
      <c r="A349" s="3">
        <v>45274.0</v>
      </c>
      <c r="B349" s="8">
        <v>24831.0</v>
      </c>
      <c r="C349" s="4">
        <v>741.0</v>
      </c>
      <c r="D349" s="5">
        <v>1336.38</v>
      </c>
      <c r="E349" s="4">
        <v>11.0</v>
      </c>
      <c r="F349" s="5">
        <v>2178.33</v>
      </c>
      <c r="G349" s="6"/>
      <c r="I349" s="5"/>
    </row>
    <row r="350" ht="15.75" customHeight="1">
      <c r="A350" s="3">
        <v>45275.0</v>
      </c>
      <c r="B350" s="8">
        <v>108166.0</v>
      </c>
      <c r="C350" s="4">
        <v>3006.0</v>
      </c>
      <c r="D350" s="5">
        <v>4931.5</v>
      </c>
      <c r="E350" s="4">
        <v>59.0</v>
      </c>
      <c r="F350" s="5">
        <v>6134.31</v>
      </c>
      <c r="G350" s="6"/>
      <c r="H350" s="5"/>
      <c r="I350" s="5"/>
    </row>
    <row r="351" ht="15.75" customHeight="1">
      <c r="A351" s="3">
        <v>45276.0</v>
      </c>
      <c r="B351" s="8">
        <v>91150.0</v>
      </c>
      <c r="C351" s="4">
        <v>2488.0</v>
      </c>
      <c r="D351" s="5">
        <v>3110.49</v>
      </c>
      <c r="E351" s="4">
        <v>54.0</v>
      </c>
      <c r="F351" s="5">
        <v>10849.4</v>
      </c>
      <c r="G351" s="6"/>
      <c r="I351" s="5"/>
    </row>
    <row r="352" ht="15.75" customHeight="1">
      <c r="A352" s="3">
        <v>45277.0</v>
      </c>
      <c r="B352" s="8">
        <v>46523.0</v>
      </c>
      <c r="C352" s="4">
        <v>673.0</v>
      </c>
      <c r="D352" s="5">
        <v>1018.62</v>
      </c>
      <c r="E352" s="4">
        <v>9.0</v>
      </c>
      <c r="F352" s="5">
        <v>1679.71</v>
      </c>
      <c r="G352" s="6"/>
      <c r="I352" s="5"/>
    </row>
    <row r="353" ht="15.75" customHeight="1">
      <c r="A353" s="3">
        <v>45278.0</v>
      </c>
      <c r="B353" s="8">
        <v>98159.0</v>
      </c>
      <c r="C353" s="4">
        <v>1648.0</v>
      </c>
      <c r="D353" s="5">
        <v>2720.97</v>
      </c>
      <c r="E353" s="4">
        <v>32.0</v>
      </c>
      <c r="F353" s="5">
        <v>5568.58</v>
      </c>
      <c r="G353" s="6"/>
      <c r="I353" s="5"/>
    </row>
    <row r="354" ht="15.75" customHeight="1">
      <c r="A354" s="3">
        <v>45279.0</v>
      </c>
      <c r="B354" s="8">
        <v>83588.0</v>
      </c>
      <c r="C354" s="4">
        <v>2448.0</v>
      </c>
      <c r="D354" s="5">
        <v>3894.11</v>
      </c>
      <c r="E354" s="4">
        <v>36.0</v>
      </c>
      <c r="F354" s="5">
        <v>5171.08</v>
      </c>
      <c r="G354" s="6"/>
      <c r="I354" s="5"/>
    </row>
    <row r="355" ht="15.75" customHeight="1">
      <c r="A355" s="3">
        <v>45280.0</v>
      </c>
      <c r="B355" s="8">
        <v>104190.0</v>
      </c>
      <c r="C355" s="4">
        <v>2719.0</v>
      </c>
      <c r="D355" s="5">
        <v>3562.36</v>
      </c>
      <c r="E355" s="4">
        <v>34.0</v>
      </c>
      <c r="F355" s="5">
        <v>5797.67</v>
      </c>
      <c r="G355" s="6"/>
      <c r="I355" s="5"/>
    </row>
    <row r="356" ht="15.75" customHeight="1">
      <c r="A356" s="3">
        <v>45281.0</v>
      </c>
      <c r="B356" s="8">
        <v>24959.0</v>
      </c>
      <c r="C356" s="4">
        <v>274.0</v>
      </c>
      <c r="D356" s="5">
        <v>381.62</v>
      </c>
      <c r="E356" s="4">
        <v>4.0</v>
      </c>
      <c r="F356" s="5">
        <v>832.87</v>
      </c>
      <c r="G356" s="6"/>
      <c r="I356" s="5"/>
    </row>
    <row r="357" ht="15.75" customHeight="1">
      <c r="A357" s="3">
        <v>45282.0</v>
      </c>
      <c r="B357" s="8">
        <v>67027.0</v>
      </c>
      <c r="C357" s="4">
        <v>1058.0</v>
      </c>
      <c r="D357" s="5">
        <v>1313.19</v>
      </c>
      <c r="E357" s="4">
        <v>15.0</v>
      </c>
      <c r="F357" s="5">
        <v>1810.3</v>
      </c>
      <c r="G357" s="6"/>
      <c r="I357" s="5"/>
    </row>
    <row r="358" ht="15.75" customHeight="1">
      <c r="A358" s="3">
        <v>45283.0</v>
      </c>
      <c r="B358" s="8">
        <v>70871.0</v>
      </c>
      <c r="C358" s="4">
        <v>757.0</v>
      </c>
      <c r="D358" s="5">
        <v>1145.06</v>
      </c>
      <c r="E358" s="4">
        <v>17.0</v>
      </c>
      <c r="F358" s="5">
        <v>3138.07</v>
      </c>
      <c r="G358" s="6"/>
      <c r="I358" s="5"/>
    </row>
    <row r="359" ht="15.75" customHeight="1">
      <c r="A359" s="3">
        <v>45284.0</v>
      </c>
      <c r="B359" s="8">
        <v>80032.0</v>
      </c>
      <c r="C359" s="4">
        <v>1728.0</v>
      </c>
      <c r="D359" s="5">
        <v>2264.58</v>
      </c>
      <c r="E359" s="4">
        <v>31.0</v>
      </c>
      <c r="F359" s="5">
        <v>4202.44</v>
      </c>
      <c r="G359" s="6"/>
      <c r="I359" s="5"/>
    </row>
    <row r="360" ht="15.75" customHeight="1">
      <c r="A360" s="3">
        <v>45285.0</v>
      </c>
      <c r="B360" s="8">
        <v>108915.0</v>
      </c>
      <c r="C360" s="4">
        <v>1317.0</v>
      </c>
      <c r="D360" s="5">
        <v>1436.48</v>
      </c>
      <c r="E360" s="4">
        <v>23.0</v>
      </c>
      <c r="F360" s="5">
        <v>2933.97</v>
      </c>
      <c r="G360" s="6"/>
      <c r="I360" s="5"/>
    </row>
    <row r="361" ht="15.75" customHeight="1">
      <c r="A361" s="3">
        <v>45286.0</v>
      </c>
      <c r="B361" s="8">
        <v>31756.0</v>
      </c>
      <c r="C361" s="4">
        <v>574.0</v>
      </c>
      <c r="D361" s="5">
        <v>695.48</v>
      </c>
      <c r="E361" s="4">
        <v>8.0</v>
      </c>
      <c r="F361" s="5">
        <v>1455.92</v>
      </c>
      <c r="G361" s="6"/>
      <c r="I361" s="5"/>
    </row>
    <row r="362" ht="15.75" customHeight="1">
      <c r="A362" s="3">
        <v>45287.0</v>
      </c>
      <c r="B362" s="8">
        <v>95173.0</v>
      </c>
      <c r="C362" s="4">
        <v>2150.0</v>
      </c>
      <c r="D362" s="5">
        <v>2516.56</v>
      </c>
      <c r="E362" s="4">
        <v>29.0</v>
      </c>
      <c r="F362" s="5">
        <v>4613.7</v>
      </c>
      <c r="G362" s="6"/>
      <c r="I362" s="5"/>
    </row>
    <row r="363" ht="15.75" customHeight="1">
      <c r="A363" s="3">
        <v>45288.0</v>
      </c>
      <c r="B363" s="8">
        <v>100035.0</v>
      </c>
      <c r="C363" s="4">
        <v>2290.0</v>
      </c>
      <c r="D363" s="5">
        <v>3894.35</v>
      </c>
      <c r="E363" s="4">
        <v>39.0</v>
      </c>
      <c r="F363" s="5">
        <v>6374.15</v>
      </c>
      <c r="G363" s="6"/>
      <c r="I363" s="5"/>
    </row>
    <row r="364" ht="15.75" customHeight="1">
      <c r="A364" s="3">
        <v>45289.0</v>
      </c>
      <c r="B364" s="8">
        <v>59646.0</v>
      </c>
      <c r="C364" s="4">
        <v>1067.0</v>
      </c>
      <c r="D364" s="5">
        <v>1163.75</v>
      </c>
      <c r="E364" s="4">
        <v>14.0</v>
      </c>
      <c r="F364" s="5">
        <v>1546.4</v>
      </c>
      <c r="G364" s="6"/>
      <c r="I364" s="5"/>
    </row>
    <row r="365" ht="15.75" customHeight="1">
      <c r="A365" s="3">
        <v>45290.0</v>
      </c>
      <c r="B365" s="8">
        <v>47837.0</v>
      </c>
      <c r="C365" s="4">
        <v>1166.0</v>
      </c>
      <c r="D365" s="5">
        <v>1750.83</v>
      </c>
      <c r="E365" s="4">
        <v>21.0</v>
      </c>
      <c r="F365" s="5">
        <v>3860.58</v>
      </c>
      <c r="G365" s="6"/>
      <c r="I365" s="5"/>
    </row>
    <row r="366" ht="15.75" customHeight="1">
      <c r="A366" s="3">
        <v>45291.0</v>
      </c>
      <c r="B366" s="8">
        <v>88825.0</v>
      </c>
      <c r="C366" s="4">
        <v>2184.0</v>
      </c>
      <c r="D366" s="5">
        <v>2425.44</v>
      </c>
      <c r="E366" s="4">
        <v>38.0</v>
      </c>
      <c r="F366" s="5">
        <v>5801.42</v>
      </c>
      <c r="G366" s="6"/>
      <c r="I366" s="5"/>
    </row>
    <row r="367" ht="15.75" customHeight="1">
      <c r="A367" s="3"/>
      <c r="G367" s="6"/>
    </row>
    <row r="368" ht="15.75" customHeight="1">
      <c r="A368" s="3"/>
      <c r="G368" s="6"/>
    </row>
    <row r="369" ht="15.75" customHeight="1">
      <c r="A369" s="3"/>
      <c r="G369" s="6"/>
    </row>
    <row r="370" ht="15.75" customHeight="1">
      <c r="A370" s="3"/>
      <c r="G370" s="6"/>
    </row>
    <row r="371" ht="15.75" customHeight="1">
      <c r="A371" s="3"/>
      <c r="G371" s="6"/>
    </row>
    <row r="372" ht="15.75" customHeight="1">
      <c r="A372" s="3"/>
      <c r="G372" s="6"/>
    </row>
    <row r="373" ht="15.75" customHeight="1">
      <c r="A373" s="3"/>
      <c r="G373" s="6"/>
    </row>
    <row r="374" ht="15.75" customHeight="1">
      <c r="A374" s="3"/>
      <c r="G374" s="6"/>
    </row>
    <row r="375" ht="15.75" customHeight="1">
      <c r="A375" s="3"/>
      <c r="G375" s="6"/>
    </row>
    <row r="376" ht="15.75" customHeight="1">
      <c r="A376" s="3"/>
      <c r="G376" s="6"/>
    </row>
    <row r="377" ht="15.75" customHeight="1">
      <c r="A377" s="3"/>
      <c r="G377" s="6"/>
    </row>
    <row r="378" ht="15.75" customHeight="1">
      <c r="A378" s="3"/>
      <c r="G378" s="6"/>
    </row>
    <row r="379" ht="15.75" customHeight="1">
      <c r="A379" s="3"/>
      <c r="G379" s="6"/>
    </row>
    <row r="380" ht="15.75" customHeight="1">
      <c r="A380" s="3"/>
      <c r="G380" s="6"/>
    </row>
    <row r="381" ht="15.75" customHeight="1">
      <c r="A381" s="3"/>
      <c r="G381" s="6"/>
    </row>
    <row r="382" ht="15.75" customHeight="1">
      <c r="A382" s="3"/>
      <c r="G382" s="6"/>
    </row>
    <row r="383" ht="15.75" customHeight="1">
      <c r="A383" s="3"/>
      <c r="G383" s="6"/>
    </row>
    <row r="384" ht="15.75" customHeight="1">
      <c r="A384" s="3"/>
      <c r="G384" s="6"/>
    </row>
    <row r="385" ht="15.75" customHeight="1">
      <c r="A385" s="3"/>
      <c r="G385" s="6"/>
    </row>
    <row r="386" ht="15.75" customHeight="1">
      <c r="A386" s="3"/>
      <c r="G386" s="6"/>
    </row>
    <row r="387" ht="15.75" customHeight="1">
      <c r="A387" s="3"/>
      <c r="G387" s="6"/>
    </row>
    <row r="388" ht="15.75" customHeight="1">
      <c r="A388" s="3"/>
      <c r="G388" s="6"/>
    </row>
    <row r="389" ht="15.75" customHeight="1">
      <c r="A389" s="3"/>
      <c r="G389" s="6"/>
    </row>
    <row r="390" ht="15.75" customHeight="1">
      <c r="A390" s="3"/>
      <c r="G390" s="6"/>
    </row>
    <row r="391" ht="15.75" customHeight="1">
      <c r="A391" s="3"/>
      <c r="G391" s="6"/>
    </row>
    <row r="392" ht="15.75" customHeight="1">
      <c r="A392" s="3"/>
      <c r="G392" s="6"/>
    </row>
    <row r="393" ht="15.75" customHeight="1">
      <c r="A393" s="3"/>
      <c r="G393" s="6"/>
    </row>
    <row r="394" ht="15.75" customHeight="1">
      <c r="A394" s="3"/>
      <c r="G394" s="6"/>
    </row>
    <row r="395" ht="15.75" customHeight="1">
      <c r="A395" s="3"/>
      <c r="G395" s="6"/>
    </row>
    <row r="396" ht="15.75" customHeight="1">
      <c r="A396" s="3"/>
      <c r="G396" s="6"/>
    </row>
    <row r="397" ht="15.75" customHeight="1">
      <c r="A397" s="3"/>
      <c r="G397" s="6"/>
    </row>
    <row r="398" ht="15.75" customHeight="1">
      <c r="A398" s="3"/>
      <c r="G398" s="6"/>
    </row>
    <row r="399" ht="15.75" customHeight="1">
      <c r="A399" s="3"/>
      <c r="G399" s="6"/>
    </row>
    <row r="400" ht="15.75" customHeight="1">
      <c r="A400" s="3"/>
      <c r="G400" s="6"/>
    </row>
    <row r="401" ht="15.75" customHeight="1">
      <c r="A401" s="3"/>
      <c r="G401" s="6"/>
    </row>
    <row r="402" ht="15.75" customHeight="1">
      <c r="A402" s="3"/>
      <c r="G402" s="6"/>
    </row>
    <row r="403" ht="15.75" customHeight="1">
      <c r="A403" s="3"/>
      <c r="G403" s="6"/>
    </row>
    <row r="404" ht="15.75" customHeight="1">
      <c r="A404" s="3"/>
      <c r="G404" s="6"/>
    </row>
    <row r="405" ht="15.75" customHeight="1">
      <c r="A405" s="3"/>
      <c r="G405" s="6"/>
    </row>
    <row r="406" ht="15.75" customHeight="1">
      <c r="A406" s="3"/>
      <c r="G406" s="6"/>
    </row>
    <row r="407" ht="15.75" customHeight="1">
      <c r="A407" s="3"/>
      <c r="G407" s="6"/>
    </row>
    <row r="408" ht="15.75" customHeight="1">
      <c r="A408" s="3"/>
      <c r="G408" s="6"/>
    </row>
    <row r="409" ht="15.75" customHeight="1">
      <c r="A409" s="3"/>
      <c r="G409" s="6"/>
    </row>
    <row r="410" ht="15.75" customHeight="1">
      <c r="A410" s="3"/>
      <c r="G410" s="6"/>
    </row>
    <row r="411" ht="15.75" customHeight="1">
      <c r="A411" s="3"/>
      <c r="G411" s="6"/>
    </row>
    <row r="412" ht="15.75" customHeight="1">
      <c r="A412" s="3"/>
      <c r="G412" s="6"/>
    </row>
    <row r="413" ht="15.75" customHeight="1">
      <c r="A413" s="3"/>
      <c r="G413" s="6"/>
    </row>
    <row r="414" ht="15.75" customHeight="1">
      <c r="A414" s="3"/>
      <c r="G414" s="6"/>
    </row>
    <row r="415" ht="15.75" customHeight="1">
      <c r="A415" s="3"/>
      <c r="G415" s="6"/>
    </row>
    <row r="416" ht="15.75" customHeight="1">
      <c r="A416" s="3"/>
      <c r="G416" s="6"/>
    </row>
    <row r="417" ht="15.75" customHeight="1">
      <c r="A417" s="3"/>
      <c r="G417" s="6"/>
    </row>
    <row r="418" ht="15.75" customHeight="1">
      <c r="A418" s="3"/>
      <c r="G418" s="6"/>
    </row>
    <row r="419" ht="15.75" customHeight="1">
      <c r="A419" s="3"/>
      <c r="G419" s="6"/>
    </row>
    <row r="420" ht="15.75" customHeight="1">
      <c r="A420" s="3"/>
      <c r="G420" s="6"/>
    </row>
    <row r="421" ht="15.75" customHeight="1">
      <c r="A421" s="3"/>
      <c r="G421" s="6"/>
    </row>
    <row r="422" ht="15.75" customHeight="1">
      <c r="A422" s="3"/>
      <c r="G422" s="6"/>
    </row>
    <row r="423" ht="15.75" customHeight="1">
      <c r="A423" s="3"/>
      <c r="G423" s="6"/>
    </row>
    <row r="424" ht="15.75" customHeight="1">
      <c r="A424" s="3"/>
      <c r="G424" s="6"/>
    </row>
    <row r="425" ht="15.75" customHeight="1">
      <c r="A425" s="3"/>
      <c r="G425" s="6"/>
    </row>
    <row r="426" ht="15.75" customHeight="1">
      <c r="A426" s="3"/>
      <c r="G426" s="6"/>
    </row>
    <row r="427" ht="15.75" customHeight="1">
      <c r="A427" s="3"/>
      <c r="G427" s="6"/>
    </row>
    <row r="428" ht="15.75" customHeight="1">
      <c r="A428" s="3"/>
      <c r="G428" s="6"/>
    </row>
    <row r="429" ht="15.75" customHeight="1">
      <c r="A429" s="3"/>
      <c r="G429" s="6"/>
    </row>
    <row r="430" ht="15.75" customHeight="1">
      <c r="A430" s="3"/>
      <c r="G430" s="6"/>
    </row>
    <row r="431" ht="15.75" customHeight="1">
      <c r="A431" s="3"/>
      <c r="G431" s="6"/>
    </row>
    <row r="432" ht="15.75" customHeight="1">
      <c r="A432" s="3"/>
      <c r="G432" s="6"/>
    </row>
    <row r="433" ht="15.75" customHeight="1">
      <c r="A433" s="3"/>
      <c r="G433" s="6"/>
    </row>
    <row r="434" ht="15.75" customHeight="1">
      <c r="A434" s="3"/>
      <c r="G434" s="6"/>
    </row>
    <row r="435" ht="15.75" customHeight="1">
      <c r="A435" s="3"/>
      <c r="G435" s="6"/>
    </row>
    <row r="436" ht="15.75" customHeight="1">
      <c r="A436" s="3"/>
      <c r="G436" s="6"/>
    </row>
    <row r="437" ht="15.75" customHeight="1">
      <c r="A437" s="3"/>
      <c r="G437" s="6"/>
    </row>
    <row r="438" ht="15.75" customHeight="1">
      <c r="A438" s="3"/>
      <c r="G438" s="6"/>
    </row>
    <row r="439" ht="15.75" customHeight="1">
      <c r="A439" s="3"/>
      <c r="G439" s="6"/>
    </row>
    <row r="440" ht="15.75" customHeight="1">
      <c r="A440" s="3"/>
      <c r="G440" s="6"/>
    </row>
    <row r="441" ht="15.75" customHeight="1">
      <c r="A441" s="3"/>
      <c r="G441" s="6"/>
    </row>
    <row r="442" ht="15.75" customHeight="1">
      <c r="A442" s="3"/>
      <c r="G442" s="6"/>
    </row>
    <row r="443" ht="15.75" customHeight="1">
      <c r="A443" s="3"/>
      <c r="G443" s="6"/>
    </row>
    <row r="444" ht="15.75" customHeight="1">
      <c r="A444" s="3"/>
      <c r="G444" s="6"/>
    </row>
    <row r="445" ht="15.75" customHeight="1">
      <c r="A445" s="3"/>
      <c r="G445" s="6"/>
    </row>
    <row r="446" ht="15.75" customHeight="1">
      <c r="A446" s="3"/>
      <c r="G446" s="6"/>
    </row>
    <row r="447" ht="15.75" customHeight="1">
      <c r="A447" s="3"/>
      <c r="G447" s="6"/>
    </row>
    <row r="448" ht="15.75" customHeight="1">
      <c r="A448" s="3"/>
      <c r="G448" s="6"/>
    </row>
    <row r="449" ht="15.75" customHeight="1">
      <c r="A449" s="3"/>
      <c r="G449" s="6"/>
    </row>
    <row r="450" ht="15.75" customHeight="1">
      <c r="A450" s="3"/>
      <c r="G450" s="6"/>
    </row>
    <row r="451" ht="15.75" customHeight="1">
      <c r="A451" s="3"/>
      <c r="G451" s="6"/>
    </row>
    <row r="452" ht="15.75" customHeight="1">
      <c r="A452" s="3"/>
      <c r="G452" s="6"/>
    </row>
    <row r="453" ht="15.75" customHeight="1">
      <c r="A453" s="3"/>
      <c r="G453" s="6"/>
    </row>
    <row r="454" ht="15.75" customHeight="1">
      <c r="A454" s="3"/>
      <c r="G454" s="6"/>
    </row>
    <row r="455" ht="15.75" customHeight="1">
      <c r="A455" s="3"/>
      <c r="G455" s="6"/>
    </row>
    <row r="456" ht="15.75" customHeight="1">
      <c r="A456" s="3"/>
      <c r="G456" s="6"/>
    </row>
    <row r="457" ht="15.75" customHeight="1">
      <c r="A457" s="3"/>
      <c r="G457" s="6"/>
    </row>
    <row r="458" ht="15.75" customHeight="1">
      <c r="A458" s="3"/>
      <c r="G458" s="6"/>
    </row>
    <row r="459" ht="15.75" customHeight="1">
      <c r="A459" s="3"/>
      <c r="G459" s="6"/>
    </row>
    <row r="460" ht="15.75" customHeight="1">
      <c r="A460" s="3"/>
      <c r="G460" s="6"/>
    </row>
    <row r="461" ht="15.75" customHeight="1">
      <c r="A461" s="3"/>
      <c r="G461" s="6"/>
    </row>
    <row r="462" ht="15.75" customHeight="1">
      <c r="A462" s="3"/>
      <c r="G462" s="6"/>
    </row>
    <row r="463" ht="15.75" customHeight="1">
      <c r="A463" s="3"/>
      <c r="G463" s="6"/>
    </row>
    <row r="464" ht="15.75" customHeight="1">
      <c r="A464" s="3"/>
      <c r="G464" s="6"/>
    </row>
    <row r="465" ht="15.75" customHeight="1">
      <c r="A465" s="3"/>
      <c r="G465" s="6"/>
    </row>
    <row r="466" ht="15.75" customHeight="1">
      <c r="A466" s="3"/>
      <c r="G466" s="6"/>
    </row>
    <row r="467" ht="15.75" customHeight="1">
      <c r="A467" s="3"/>
      <c r="G467" s="6"/>
    </row>
    <row r="468" ht="15.75" customHeight="1">
      <c r="A468" s="3"/>
      <c r="G468" s="6"/>
    </row>
    <row r="469" ht="15.75" customHeight="1">
      <c r="A469" s="3"/>
      <c r="G469" s="6"/>
    </row>
    <row r="470" ht="15.75" customHeight="1">
      <c r="A470" s="3"/>
      <c r="G470" s="6"/>
    </row>
    <row r="471" ht="15.75" customHeight="1">
      <c r="A471" s="3"/>
      <c r="G471" s="6"/>
    </row>
    <row r="472" ht="15.75" customHeight="1">
      <c r="A472" s="3"/>
      <c r="G472" s="6"/>
    </row>
    <row r="473" ht="15.75" customHeight="1">
      <c r="A473" s="3"/>
      <c r="G473" s="6"/>
    </row>
    <row r="474" ht="15.75" customHeight="1">
      <c r="A474" s="3"/>
      <c r="G474" s="6"/>
    </row>
    <row r="475" ht="15.75" customHeight="1">
      <c r="A475" s="3"/>
      <c r="G475" s="6"/>
    </row>
    <row r="476" ht="15.75" customHeight="1">
      <c r="A476" s="3"/>
      <c r="G476" s="6"/>
    </row>
    <row r="477" ht="15.75" customHeight="1">
      <c r="A477" s="3"/>
      <c r="G477" s="6"/>
    </row>
    <row r="478" ht="15.75" customHeight="1">
      <c r="A478" s="3"/>
      <c r="G478" s="6"/>
    </row>
    <row r="479" ht="15.75" customHeight="1">
      <c r="A479" s="3"/>
      <c r="G479" s="6"/>
    </row>
    <row r="480" ht="15.75" customHeight="1">
      <c r="A480" s="3"/>
      <c r="G480" s="6"/>
    </row>
    <row r="481" ht="15.75" customHeight="1">
      <c r="A481" s="3"/>
      <c r="G481" s="6"/>
    </row>
    <row r="482" ht="15.75" customHeight="1">
      <c r="A482" s="3"/>
      <c r="G482" s="6"/>
    </row>
    <row r="483" ht="15.75" customHeight="1">
      <c r="A483" s="3"/>
      <c r="G483" s="6"/>
    </row>
    <row r="484" ht="15.75" customHeight="1">
      <c r="A484" s="3"/>
      <c r="G484" s="6"/>
    </row>
    <row r="485" ht="15.75" customHeight="1">
      <c r="A485" s="3"/>
      <c r="G485" s="6"/>
    </row>
    <row r="486" ht="15.75" customHeight="1">
      <c r="A486" s="3"/>
      <c r="G486" s="6"/>
    </row>
    <row r="487" ht="15.75" customHeight="1">
      <c r="A487" s="3"/>
      <c r="G487" s="6"/>
    </row>
    <row r="488" ht="15.75" customHeight="1">
      <c r="A488" s="3"/>
      <c r="G488" s="6"/>
    </row>
    <row r="489" ht="15.75" customHeight="1">
      <c r="A489" s="3"/>
      <c r="G489" s="6"/>
    </row>
    <row r="490" ht="15.75" customHeight="1">
      <c r="A490" s="3"/>
      <c r="G490" s="6"/>
    </row>
    <row r="491" ht="15.75" customHeight="1">
      <c r="A491" s="3"/>
      <c r="G491" s="6"/>
    </row>
    <row r="492" ht="15.75" customHeight="1">
      <c r="A492" s="3"/>
      <c r="G492" s="6"/>
    </row>
    <row r="493" ht="15.75" customHeight="1">
      <c r="A493" s="3"/>
      <c r="G493" s="6"/>
    </row>
    <row r="494" ht="15.75" customHeight="1">
      <c r="A494" s="3"/>
      <c r="G494" s="6"/>
    </row>
    <row r="495" ht="15.75" customHeight="1">
      <c r="A495" s="3"/>
      <c r="G495" s="6"/>
    </row>
    <row r="496" ht="15.75" customHeight="1">
      <c r="A496" s="3"/>
      <c r="G496" s="6"/>
    </row>
    <row r="497" ht="15.75" customHeight="1">
      <c r="A497" s="3"/>
      <c r="G497" s="6"/>
    </row>
    <row r="498" ht="15.75" customHeight="1">
      <c r="A498" s="3"/>
      <c r="G498" s="6"/>
    </row>
    <row r="499" ht="15.75" customHeight="1">
      <c r="A499" s="3"/>
      <c r="G499" s="6"/>
    </row>
    <row r="500" ht="15.75" customHeight="1">
      <c r="A500" s="3"/>
      <c r="G500" s="6"/>
    </row>
    <row r="501" ht="15.75" customHeight="1">
      <c r="A501" s="3"/>
      <c r="G501" s="6"/>
    </row>
    <row r="502" ht="15.75" customHeight="1">
      <c r="A502" s="3"/>
      <c r="G502" s="6"/>
    </row>
    <row r="503" ht="15.75" customHeight="1">
      <c r="A503" s="3"/>
      <c r="G503" s="6"/>
    </row>
    <row r="504" ht="15.75" customHeight="1">
      <c r="A504" s="3"/>
      <c r="G504" s="6"/>
    </row>
    <row r="505" ht="15.75" customHeight="1">
      <c r="A505" s="3"/>
      <c r="G505" s="6"/>
    </row>
    <row r="506" ht="15.75" customHeight="1">
      <c r="A506" s="3"/>
      <c r="G506" s="6"/>
    </row>
    <row r="507" ht="15.75" customHeight="1">
      <c r="A507" s="3"/>
      <c r="G507" s="6"/>
    </row>
    <row r="508" ht="15.75" customHeight="1">
      <c r="A508" s="3"/>
      <c r="G508" s="6"/>
    </row>
    <row r="509" ht="15.75" customHeight="1">
      <c r="A509" s="3"/>
      <c r="G509" s="6"/>
    </row>
    <row r="510" ht="15.75" customHeight="1">
      <c r="A510" s="3"/>
      <c r="G510" s="6"/>
    </row>
    <row r="511" ht="15.75" customHeight="1">
      <c r="A511" s="3"/>
      <c r="G511" s="6"/>
    </row>
    <row r="512" ht="15.75" customHeight="1">
      <c r="A512" s="3"/>
      <c r="G512" s="6"/>
    </row>
    <row r="513" ht="15.75" customHeight="1">
      <c r="A513" s="3"/>
      <c r="G513" s="6"/>
    </row>
    <row r="514" ht="15.75" customHeight="1">
      <c r="A514" s="3"/>
      <c r="G514" s="6"/>
    </row>
    <row r="515" ht="15.75" customHeight="1">
      <c r="A515" s="3"/>
      <c r="G515" s="6"/>
    </row>
    <row r="516" ht="15.75" customHeight="1">
      <c r="A516" s="3"/>
      <c r="G516" s="6"/>
    </row>
    <row r="517" ht="15.75" customHeight="1">
      <c r="A517" s="3"/>
      <c r="G517" s="6"/>
    </row>
    <row r="518" ht="15.75" customHeight="1">
      <c r="A518" s="3"/>
      <c r="G518" s="6"/>
    </row>
    <row r="519" ht="15.75" customHeight="1">
      <c r="A519" s="3"/>
      <c r="G519" s="6"/>
    </row>
    <row r="520" ht="15.75" customHeight="1">
      <c r="A520" s="3"/>
      <c r="G520" s="6"/>
    </row>
    <row r="521" ht="15.75" customHeight="1">
      <c r="A521" s="3"/>
      <c r="G521" s="6"/>
    </row>
    <row r="522" ht="15.75" customHeight="1">
      <c r="A522" s="3"/>
      <c r="G522" s="6"/>
    </row>
    <row r="523" ht="15.75" customHeight="1">
      <c r="A523" s="3"/>
      <c r="G523" s="6"/>
    </row>
    <row r="524" ht="15.75" customHeight="1">
      <c r="A524" s="3"/>
      <c r="G524" s="6"/>
    </row>
    <row r="525" ht="15.75" customHeight="1">
      <c r="A525" s="3"/>
      <c r="G525" s="6"/>
    </row>
    <row r="526" ht="15.75" customHeight="1">
      <c r="A526" s="3"/>
      <c r="G526" s="6"/>
    </row>
    <row r="527" ht="15.75" customHeight="1">
      <c r="A527" s="3"/>
      <c r="G527" s="6"/>
    </row>
    <row r="528" ht="15.75" customHeight="1">
      <c r="A528" s="3"/>
      <c r="G528" s="6"/>
    </row>
    <row r="529" ht="15.75" customHeight="1">
      <c r="A529" s="3"/>
      <c r="G529" s="6"/>
    </row>
    <row r="530" ht="15.75" customHeight="1">
      <c r="A530" s="3"/>
      <c r="G530" s="6"/>
    </row>
    <row r="531" ht="15.75" customHeight="1">
      <c r="A531" s="3"/>
      <c r="G531" s="6"/>
    </row>
    <row r="532" ht="15.75" customHeight="1">
      <c r="A532" s="3"/>
      <c r="G532" s="6"/>
    </row>
    <row r="533" ht="15.75" customHeight="1">
      <c r="A533" s="3"/>
      <c r="G533" s="6"/>
    </row>
    <row r="534" ht="15.75" customHeight="1">
      <c r="A534" s="3"/>
      <c r="G534" s="6"/>
    </row>
    <row r="535" ht="15.75" customHeight="1">
      <c r="A535" s="3"/>
      <c r="G535" s="6"/>
    </row>
    <row r="536" ht="15.75" customHeight="1">
      <c r="A536" s="3"/>
      <c r="G536" s="6"/>
    </row>
    <row r="537" ht="15.75" customHeight="1">
      <c r="A537" s="3"/>
      <c r="G537" s="6"/>
    </row>
    <row r="538" ht="15.75" customHeight="1">
      <c r="A538" s="3"/>
      <c r="G538" s="6"/>
    </row>
    <row r="539" ht="15.75" customHeight="1">
      <c r="A539" s="3"/>
      <c r="G539" s="6"/>
    </row>
    <row r="540" ht="15.75" customHeight="1">
      <c r="A540" s="3"/>
      <c r="G540" s="6"/>
    </row>
    <row r="541" ht="15.75" customHeight="1">
      <c r="A541" s="3"/>
      <c r="G541" s="6"/>
    </row>
    <row r="542" ht="15.75" customHeight="1">
      <c r="A542" s="3"/>
      <c r="G542" s="6"/>
    </row>
    <row r="543" ht="15.75" customHeight="1">
      <c r="A543" s="3"/>
      <c r="G543" s="6"/>
    </row>
    <row r="544" ht="15.75" customHeight="1">
      <c r="A544" s="3"/>
      <c r="G544" s="6"/>
    </row>
    <row r="545" ht="15.75" customHeight="1">
      <c r="A545" s="3"/>
      <c r="G545" s="6"/>
    </row>
    <row r="546" ht="15.75" customHeight="1">
      <c r="A546" s="3"/>
      <c r="G546" s="6"/>
    </row>
    <row r="547" ht="15.75" customHeight="1">
      <c r="A547" s="3"/>
      <c r="G547" s="6"/>
    </row>
    <row r="548" ht="15.75" customHeight="1">
      <c r="A548" s="3"/>
      <c r="G548" s="6"/>
    </row>
    <row r="549" ht="15.75" customHeight="1">
      <c r="A549" s="3"/>
      <c r="G549" s="6"/>
    </row>
    <row r="550" ht="15.75" customHeight="1">
      <c r="A550" s="3"/>
      <c r="G550" s="6"/>
    </row>
    <row r="551" ht="15.75" customHeight="1">
      <c r="A551" s="3"/>
      <c r="G551" s="6"/>
    </row>
    <row r="552" ht="15.75" customHeight="1">
      <c r="A552" s="3"/>
      <c r="G552" s="6"/>
    </row>
    <row r="553" ht="15.75" customHeight="1">
      <c r="A553" s="3"/>
      <c r="G553" s="6"/>
    </row>
    <row r="554" ht="15.75" customHeight="1">
      <c r="A554" s="3"/>
      <c r="G554" s="6"/>
    </row>
    <row r="555" ht="15.75" customHeight="1">
      <c r="A555" s="3"/>
      <c r="G555" s="6"/>
    </row>
    <row r="556" ht="15.75" customHeight="1">
      <c r="A556" s="3"/>
      <c r="G556" s="6"/>
    </row>
    <row r="557" ht="15.75" customHeight="1">
      <c r="A557" s="3"/>
      <c r="G557" s="6"/>
    </row>
    <row r="558" ht="15.75" customHeight="1">
      <c r="A558" s="3"/>
      <c r="G558" s="6"/>
    </row>
    <row r="559" ht="15.75" customHeight="1">
      <c r="A559" s="3"/>
      <c r="G559" s="6"/>
    </row>
    <row r="560" ht="15.75" customHeight="1">
      <c r="A560" s="3"/>
      <c r="G560" s="6"/>
    </row>
    <row r="561" ht="15.75" customHeight="1">
      <c r="A561" s="3"/>
      <c r="G561" s="6"/>
    </row>
    <row r="562" ht="15.75" customHeight="1">
      <c r="A562" s="3"/>
      <c r="G562" s="6"/>
    </row>
    <row r="563" ht="15.75" customHeight="1">
      <c r="A563" s="3"/>
      <c r="G563" s="6"/>
    </row>
    <row r="564" ht="15.75" customHeight="1">
      <c r="A564" s="3"/>
      <c r="G564" s="6"/>
    </row>
    <row r="565" ht="15.75" customHeight="1">
      <c r="A565" s="3"/>
      <c r="G565" s="6"/>
    </row>
    <row r="566" ht="15.75" customHeight="1">
      <c r="A566" s="3"/>
      <c r="G566" s="6"/>
    </row>
    <row r="567" ht="15.75" customHeight="1">
      <c r="A567" s="3"/>
      <c r="G567" s="6"/>
    </row>
    <row r="568" ht="15.75" customHeight="1">
      <c r="A568" s="3"/>
      <c r="G568" s="6"/>
    </row>
    <row r="569" ht="15.75" customHeight="1">
      <c r="A569" s="3"/>
      <c r="G569" s="6"/>
    </row>
    <row r="570" ht="15.75" customHeight="1">
      <c r="A570" s="3"/>
      <c r="G570" s="6"/>
    </row>
    <row r="571" ht="15.75" customHeight="1">
      <c r="A571" s="3"/>
      <c r="G571" s="6"/>
    </row>
    <row r="572" ht="15.75" customHeight="1">
      <c r="A572" s="3"/>
      <c r="G572" s="6"/>
    </row>
    <row r="573" ht="15.75" customHeight="1">
      <c r="A573" s="3"/>
      <c r="G573" s="6"/>
    </row>
    <row r="574" ht="15.75" customHeight="1">
      <c r="A574" s="3"/>
      <c r="G574" s="6"/>
    </row>
    <row r="575" ht="15.75" customHeight="1">
      <c r="A575" s="3"/>
      <c r="G575" s="6"/>
    </row>
    <row r="576" ht="15.75" customHeight="1">
      <c r="A576" s="3"/>
      <c r="G576" s="6"/>
    </row>
    <row r="577" ht="15.75" customHeight="1">
      <c r="A577" s="3"/>
      <c r="G577" s="6"/>
    </row>
    <row r="578" ht="15.75" customHeight="1">
      <c r="A578" s="3"/>
      <c r="G578" s="6"/>
    </row>
    <row r="579" ht="15.75" customHeight="1">
      <c r="A579" s="3"/>
      <c r="G579" s="6"/>
    </row>
    <row r="580" ht="15.75" customHeight="1">
      <c r="A580" s="3"/>
      <c r="G580" s="6"/>
    </row>
    <row r="581" ht="15.75" customHeight="1">
      <c r="A581" s="3"/>
      <c r="G581" s="6"/>
    </row>
    <row r="582" ht="15.75" customHeight="1">
      <c r="A582" s="3"/>
      <c r="G582" s="6"/>
    </row>
    <row r="583" ht="15.75" customHeight="1">
      <c r="A583" s="3"/>
      <c r="G583" s="6"/>
    </row>
    <row r="584" ht="15.75" customHeight="1">
      <c r="A584" s="3"/>
      <c r="G584" s="6"/>
    </row>
    <row r="585" ht="15.75" customHeight="1">
      <c r="A585" s="3"/>
      <c r="G585" s="6"/>
    </row>
    <row r="586" ht="15.75" customHeight="1">
      <c r="A586" s="3"/>
      <c r="G586" s="6"/>
    </row>
    <row r="587" ht="15.75" customHeight="1">
      <c r="A587" s="3"/>
      <c r="G587" s="6"/>
    </row>
    <row r="588" ht="15.75" customHeight="1">
      <c r="A588" s="3"/>
      <c r="G588" s="6"/>
    </row>
    <row r="589" ht="15.75" customHeight="1">
      <c r="A589" s="3"/>
      <c r="G589" s="6"/>
    </row>
    <row r="590" ht="15.75" customHeight="1">
      <c r="A590" s="3"/>
      <c r="G590" s="6"/>
    </row>
    <row r="591" ht="15.75" customHeight="1">
      <c r="A591" s="3"/>
      <c r="G591" s="6"/>
    </row>
    <row r="592" ht="15.75" customHeight="1">
      <c r="A592" s="3"/>
      <c r="G592" s="6"/>
    </row>
    <row r="593" ht="15.75" customHeight="1">
      <c r="A593" s="3"/>
      <c r="G593" s="6"/>
    </row>
    <row r="594" ht="15.75" customHeight="1">
      <c r="A594" s="3"/>
      <c r="G594" s="6"/>
    </row>
    <row r="595" ht="15.75" customHeight="1">
      <c r="A595" s="3"/>
      <c r="G595" s="6"/>
    </row>
    <row r="596" ht="15.75" customHeight="1">
      <c r="A596" s="3"/>
      <c r="G596" s="6"/>
    </row>
    <row r="597" ht="15.75" customHeight="1">
      <c r="A597" s="3"/>
      <c r="G597" s="6"/>
    </row>
    <row r="598" ht="15.75" customHeight="1">
      <c r="A598" s="3"/>
      <c r="G598" s="6"/>
    </row>
    <row r="599" ht="15.75" customHeight="1">
      <c r="A599" s="3"/>
      <c r="G599" s="6"/>
    </row>
    <row r="600" ht="15.75" customHeight="1">
      <c r="A600" s="3"/>
      <c r="G600" s="6"/>
    </row>
    <row r="601" ht="15.75" customHeight="1">
      <c r="A601" s="3"/>
      <c r="G601" s="6"/>
    </row>
    <row r="602" ht="15.75" customHeight="1">
      <c r="A602" s="3"/>
      <c r="G602" s="6"/>
    </row>
    <row r="603" ht="15.75" customHeight="1">
      <c r="A603" s="3"/>
      <c r="G603" s="6"/>
    </row>
    <row r="604" ht="15.75" customHeight="1">
      <c r="A604" s="3"/>
      <c r="G604" s="6"/>
    </row>
    <row r="605" ht="15.75" customHeight="1">
      <c r="A605" s="3"/>
      <c r="G605" s="6"/>
    </row>
    <row r="606" ht="15.75" customHeight="1">
      <c r="A606" s="3"/>
      <c r="G606" s="6"/>
    </row>
    <row r="607" ht="15.75" customHeight="1">
      <c r="A607" s="3"/>
      <c r="G607" s="6"/>
    </row>
    <row r="608" ht="15.75" customHeight="1">
      <c r="A608" s="3"/>
      <c r="G608" s="6"/>
    </row>
    <row r="609" ht="15.75" customHeight="1">
      <c r="A609" s="3"/>
      <c r="G609" s="6"/>
    </row>
    <row r="610" ht="15.75" customHeight="1">
      <c r="A610" s="3"/>
      <c r="G610" s="6"/>
    </row>
    <row r="611" ht="15.75" customHeight="1">
      <c r="A611" s="3"/>
      <c r="G611" s="6"/>
    </row>
    <row r="612" ht="15.75" customHeight="1">
      <c r="A612" s="3"/>
      <c r="G612" s="6"/>
    </row>
    <row r="613" ht="15.75" customHeight="1">
      <c r="A613" s="3"/>
      <c r="G613" s="6"/>
    </row>
    <row r="614" ht="15.75" customHeight="1">
      <c r="A614" s="3"/>
      <c r="G614" s="6"/>
    </row>
    <row r="615" ht="15.75" customHeight="1">
      <c r="A615" s="3"/>
      <c r="G615" s="6"/>
    </row>
    <row r="616" ht="15.75" customHeight="1">
      <c r="A616" s="3"/>
      <c r="G616" s="6"/>
    </row>
    <row r="617" ht="15.75" customHeight="1">
      <c r="A617" s="3"/>
      <c r="G617" s="6"/>
    </row>
    <row r="618" ht="15.75" customHeight="1">
      <c r="A618" s="3"/>
      <c r="G618" s="6"/>
    </row>
    <row r="619" ht="15.75" customHeight="1">
      <c r="A619" s="3"/>
      <c r="G619" s="6"/>
    </row>
    <row r="620" ht="15.75" customHeight="1">
      <c r="A620" s="3"/>
      <c r="G620" s="6"/>
    </row>
    <row r="621" ht="15.75" customHeight="1">
      <c r="A621" s="3"/>
      <c r="G621" s="6"/>
    </row>
    <row r="622" ht="15.75" customHeight="1">
      <c r="A622" s="3"/>
      <c r="G622" s="6"/>
    </row>
    <row r="623" ht="15.75" customHeight="1">
      <c r="A623" s="3"/>
      <c r="G623" s="6"/>
    </row>
    <row r="624" ht="15.75" customHeight="1">
      <c r="A624" s="3"/>
      <c r="G624" s="6"/>
    </row>
    <row r="625" ht="15.75" customHeight="1">
      <c r="A625" s="3"/>
      <c r="G625" s="6"/>
    </row>
    <row r="626" ht="15.75" customHeight="1">
      <c r="A626" s="3"/>
      <c r="G626" s="6"/>
    </row>
    <row r="627" ht="15.75" customHeight="1">
      <c r="A627" s="3"/>
      <c r="G627" s="6"/>
    </row>
    <row r="628" ht="15.75" customHeight="1">
      <c r="A628" s="3"/>
      <c r="G628" s="6"/>
    </row>
    <row r="629" ht="15.75" customHeight="1">
      <c r="A629" s="3"/>
      <c r="G629" s="6"/>
    </row>
    <row r="630" ht="15.75" customHeight="1">
      <c r="A630" s="3"/>
      <c r="G630" s="6"/>
    </row>
    <row r="631" ht="15.75" customHeight="1">
      <c r="A631" s="3"/>
      <c r="G631" s="6"/>
    </row>
    <row r="632" ht="15.75" customHeight="1">
      <c r="A632" s="3"/>
      <c r="G632" s="6"/>
    </row>
    <row r="633" ht="15.75" customHeight="1">
      <c r="A633" s="3"/>
      <c r="G633" s="6"/>
    </row>
    <row r="634" ht="15.75" customHeight="1">
      <c r="A634" s="3"/>
      <c r="G634" s="6"/>
    </row>
    <row r="635" ht="15.75" customHeight="1">
      <c r="A635" s="3"/>
      <c r="G635" s="6"/>
    </row>
    <row r="636" ht="15.75" customHeight="1">
      <c r="A636" s="3"/>
      <c r="G636" s="6"/>
    </row>
    <row r="637" ht="15.75" customHeight="1">
      <c r="A637" s="3"/>
      <c r="G637" s="6"/>
    </row>
    <row r="638" ht="15.75" customHeight="1">
      <c r="A638" s="3"/>
      <c r="G638" s="6"/>
    </row>
    <row r="639" ht="15.75" customHeight="1">
      <c r="A639" s="3"/>
      <c r="G639" s="6"/>
    </row>
    <row r="640" ht="15.75" customHeight="1">
      <c r="A640" s="3"/>
      <c r="G640" s="6"/>
    </row>
    <row r="641" ht="15.75" customHeight="1">
      <c r="A641" s="3"/>
      <c r="G641" s="6"/>
    </row>
    <row r="642" ht="15.75" customHeight="1">
      <c r="A642" s="3"/>
      <c r="G642" s="6"/>
    </row>
    <row r="643" ht="15.75" customHeight="1">
      <c r="A643" s="3"/>
      <c r="G643" s="6"/>
    </row>
    <row r="644" ht="15.75" customHeight="1">
      <c r="A644" s="3"/>
      <c r="G644" s="6"/>
    </row>
    <row r="645" ht="15.75" customHeight="1">
      <c r="A645" s="3"/>
      <c r="G645" s="6"/>
    </row>
    <row r="646" ht="15.75" customHeight="1">
      <c r="A646" s="3"/>
      <c r="G646" s="6"/>
    </row>
    <row r="647" ht="15.75" customHeight="1">
      <c r="A647" s="3"/>
      <c r="G647" s="6"/>
    </row>
    <row r="648" ht="15.75" customHeight="1">
      <c r="A648" s="3"/>
      <c r="G648" s="6"/>
    </row>
    <row r="649" ht="15.75" customHeight="1">
      <c r="A649" s="3"/>
      <c r="G649" s="6"/>
    </row>
    <row r="650" ht="15.75" customHeight="1">
      <c r="A650" s="3"/>
      <c r="G650" s="6"/>
    </row>
    <row r="651" ht="15.75" customHeight="1">
      <c r="A651" s="3"/>
      <c r="G651" s="6"/>
    </row>
    <row r="652" ht="15.75" customHeight="1">
      <c r="A652" s="3"/>
      <c r="G652" s="6"/>
    </row>
    <row r="653" ht="15.75" customHeight="1">
      <c r="A653" s="3"/>
      <c r="G653" s="6"/>
    </row>
    <row r="654" ht="15.75" customHeight="1">
      <c r="A654" s="3"/>
      <c r="G654" s="6"/>
    </row>
    <row r="655" ht="15.75" customHeight="1">
      <c r="A655" s="3"/>
      <c r="G655" s="6"/>
    </row>
    <row r="656" ht="15.75" customHeight="1">
      <c r="A656" s="3"/>
      <c r="G656" s="6"/>
    </row>
    <row r="657" ht="15.75" customHeight="1">
      <c r="A657" s="3"/>
      <c r="G657" s="6"/>
    </row>
    <row r="658" ht="15.75" customHeight="1">
      <c r="A658" s="3"/>
      <c r="G658" s="6"/>
    </row>
    <row r="659" ht="15.75" customHeight="1">
      <c r="A659" s="3"/>
      <c r="G659" s="6"/>
    </row>
    <row r="660" ht="15.75" customHeight="1">
      <c r="A660" s="3"/>
      <c r="G660" s="6"/>
    </row>
    <row r="661" ht="15.75" customHeight="1">
      <c r="A661" s="3"/>
      <c r="G661" s="6"/>
    </row>
    <row r="662" ht="15.75" customHeight="1">
      <c r="A662" s="3"/>
      <c r="G662" s="6"/>
    </row>
    <row r="663" ht="15.75" customHeight="1">
      <c r="A663" s="3"/>
      <c r="G663" s="6"/>
    </row>
    <row r="664" ht="15.75" customHeight="1">
      <c r="A664" s="3"/>
      <c r="G664" s="6"/>
    </row>
    <row r="665" ht="15.75" customHeight="1">
      <c r="A665" s="3"/>
      <c r="G665" s="6"/>
    </row>
    <row r="666" ht="15.75" customHeight="1">
      <c r="A666" s="3"/>
      <c r="G666" s="6"/>
    </row>
    <row r="667" ht="15.75" customHeight="1">
      <c r="A667" s="3"/>
      <c r="G667" s="6"/>
    </row>
    <row r="668" ht="15.75" customHeight="1">
      <c r="A668" s="3"/>
      <c r="G668" s="6"/>
    </row>
    <row r="669" ht="15.75" customHeight="1">
      <c r="A669" s="3"/>
      <c r="G669" s="6"/>
    </row>
    <row r="670" ht="15.75" customHeight="1">
      <c r="A670" s="3"/>
      <c r="G670" s="6"/>
    </row>
    <row r="671" ht="15.75" customHeight="1">
      <c r="A671" s="3"/>
      <c r="G671" s="6"/>
    </row>
    <row r="672" ht="15.75" customHeight="1">
      <c r="A672" s="3"/>
      <c r="G672" s="6"/>
    </row>
    <row r="673" ht="15.75" customHeight="1">
      <c r="A673" s="3"/>
      <c r="G673" s="6"/>
    </row>
    <row r="674" ht="15.75" customHeight="1">
      <c r="A674" s="3"/>
      <c r="G674" s="6"/>
    </row>
    <row r="675" ht="15.75" customHeight="1">
      <c r="A675" s="3"/>
      <c r="G675" s="6"/>
    </row>
    <row r="676" ht="15.75" customHeight="1">
      <c r="A676" s="3"/>
      <c r="G676" s="6"/>
    </row>
    <row r="677" ht="15.75" customHeight="1">
      <c r="A677" s="3"/>
      <c r="G677" s="6"/>
    </row>
    <row r="678" ht="15.75" customHeight="1">
      <c r="A678" s="3"/>
      <c r="G678" s="6"/>
    </row>
    <row r="679" ht="15.75" customHeight="1">
      <c r="A679" s="3"/>
      <c r="G679" s="6"/>
    </row>
    <row r="680" ht="15.75" customHeight="1">
      <c r="A680" s="3"/>
      <c r="G680" s="6"/>
    </row>
    <row r="681" ht="15.75" customHeight="1">
      <c r="A681" s="3"/>
      <c r="G681" s="6"/>
    </row>
    <row r="682" ht="15.75" customHeight="1">
      <c r="A682" s="3"/>
      <c r="G682" s="6"/>
    </row>
    <row r="683" ht="15.75" customHeight="1">
      <c r="A683" s="3"/>
      <c r="G683" s="6"/>
    </row>
    <row r="684" ht="15.75" customHeight="1">
      <c r="A684" s="3"/>
      <c r="G684" s="6"/>
    </row>
    <row r="685" ht="15.75" customHeight="1">
      <c r="A685" s="3"/>
      <c r="G685" s="6"/>
    </row>
    <row r="686" ht="15.75" customHeight="1">
      <c r="A686" s="3"/>
      <c r="G686" s="6"/>
    </row>
    <row r="687" ht="15.75" customHeight="1">
      <c r="A687" s="3"/>
      <c r="G687" s="6"/>
    </row>
    <row r="688" ht="15.75" customHeight="1">
      <c r="A688" s="3"/>
      <c r="G688" s="6"/>
    </row>
    <row r="689" ht="15.75" customHeight="1">
      <c r="A689" s="3"/>
      <c r="G689" s="6"/>
    </row>
    <row r="690" ht="15.75" customHeight="1">
      <c r="A690" s="3"/>
      <c r="G690" s="6"/>
    </row>
    <row r="691" ht="15.75" customHeight="1">
      <c r="A691" s="3"/>
      <c r="G691" s="6"/>
    </row>
    <row r="692" ht="15.75" customHeight="1">
      <c r="A692" s="3"/>
      <c r="G692" s="6"/>
    </row>
    <row r="693" ht="15.75" customHeight="1">
      <c r="A693" s="3"/>
      <c r="G693" s="6"/>
    </row>
    <row r="694" ht="15.75" customHeight="1">
      <c r="A694" s="3"/>
      <c r="G694" s="6"/>
    </row>
    <row r="695" ht="15.75" customHeight="1">
      <c r="A695" s="3"/>
      <c r="G695" s="6"/>
    </row>
    <row r="696" ht="15.75" customHeight="1">
      <c r="A696" s="3"/>
      <c r="G696" s="6"/>
    </row>
    <row r="697" ht="15.75" customHeight="1">
      <c r="A697" s="3"/>
      <c r="G697" s="6"/>
    </row>
    <row r="698" ht="15.75" customHeight="1">
      <c r="A698" s="3"/>
      <c r="G698" s="6"/>
    </row>
    <row r="699" ht="15.75" customHeight="1">
      <c r="A699" s="3"/>
      <c r="G699" s="6"/>
    </row>
    <row r="700" ht="15.75" customHeight="1">
      <c r="A700" s="3"/>
      <c r="G700" s="6"/>
    </row>
    <row r="701" ht="15.75" customHeight="1">
      <c r="A701" s="3"/>
      <c r="G701" s="6"/>
    </row>
    <row r="702" ht="15.75" customHeight="1">
      <c r="A702" s="3"/>
      <c r="G702" s="6"/>
    </row>
    <row r="703" ht="15.75" customHeight="1">
      <c r="A703" s="3"/>
      <c r="G703" s="6"/>
    </row>
    <row r="704" ht="15.75" customHeight="1">
      <c r="A704" s="3"/>
      <c r="G704" s="6"/>
    </row>
    <row r="705" ht="15.75" customHeight="1">
      <c r="A705" s="3"/>
      <c r="G705" s="6"/>
    </row>
    <row r="706" ht="15.75" customHeight="1">
      <c r="A706" s="3"/>
      <c r="G706" s="6"/>
    </row>
    <row r="707" ht="15.75" customHeight="1">
      <c r="A707" s="3"/>
      <c r="G707" s="6"/>
    </row>
    <row r="708" ht="15.75" customHeight="1">
      <c r="A708" s="3"/>
      <c r="G708" s="6"/>
    </row>
    <row r="709" ht="15.75" customHeight="1">
      <c r="A709" s="3"/>
      <c r="G709" s="6"/>
    </row>
    <row r="710" ht="15.75" customHeight="1">
      <c r="A710" s="3"/>
      <c r="G710" s="6"/>
    </row>
    <row r="711" ht="15.75" customHeight="1">
      <c r="A711" s="3"/>
      <c r="G711" s="6"/>
    </row>
    <row r="712" ht="15.75" customHeight="1">
      <c r="A712" s="3"/>
      <c r="G712" s="6"/>
    </row>
    <row r="713" ht="15.75" customHeight="1">
      <c r="A713" s="3"/>
      <c r="G713" s="6"/>
    </row>
    <row r="714" ht="15.75" customHeight="1">
      <c r="A714" s="3"/>
      <c r="G714" s="6"/>
    </row>
    <row r="715" ht="15.75" customHeight="1">
      <c r="A715" s="3"/>
      <c r="G715" s="6"/>
    </row>
    <row r="716" ht="15.75" customHeight="1">
      <c r="A716" s="3"/>
      <c r="G716" s="6"/>
    </row>
    <row r="717" ht="15.75" customHeight="1">
      <c r="A717" s="3"/>
      <c r="G717" s="6"/>
    </row>
    <row r="718" ht="15.75" customHeight="1">
      <c r="A718" s="3"/>
      <c r="G718" s="6"/>
    </row>
    <row r="719" ht="15.75" customHeight="1">
      <c r="A719" s="3"/>
      <c r="G719" s="6"/>
    </row>
    <row r="720" ht="15.75" customHeight="1">
      <c r="A720" s="3"/>
      <c r="G720" s="6"/>
    </row>
    <row r="721" ht="15.75" customHeight="1">
      <c r="A721" s="3"/>
      <c r="G721" s="6"/>
    </row>
    <row r="722" ht="15.75" customHeight="1">
      <c r="A722" s="3"/>
      <c r="G722" s="6"/>
    </row>
    <row r="723" ht="15.75" customHeight="1">
      <c r="A723" s="3"/>
      <c r="G723" s="6"/>
    </row>
    <row r="724" ht="15.75" customHeight="1">
      <c r="A724" s="3"/>
      <c r="G724" s="6"/>
    </row>
    <row r="725" ht="15.75" customHeight="1">
      <c r="A725" s="3"/>
      <c r="G725" s="6"/>
    </row>
    <row r="726" ht="15.75" customHeight="1">
      <c r="A726" s="3"/>
      <c r="G726" s="6"/>
    </row>
    <row r="727" ht="15.75" customHeight="1">
      <c r="A727" s="3"/>
      <c r="G727" s="6"/>
    </row>
    <row r="728" ht="15.75" customHeight="1">
      <c r="A728" s="3"/>
      <c r="G728" s="6"/>
    </row>
    <row r="729" ht="15.75" customHeight="1">
      <c r="A729" s="3"/>
      <c r="G729" s="6"/>
    </row>
    <row r="730" ht="15.75" customHeight="1">
      <c r="A730" s="3"/>
      <c r="G730" s="6"/>
    </row>
    <row r="731" ht="15.75" customHeight="1">
      <c r="A731" s="3"/>
      <c r="G731" s="6"/>
    </row>
    <row r="732" ht="15.75" customHeight="1">
      <c r="A732" s="3"/>
      <c r="G732" s="6"/>
    </row>
    <row r="733" ht="15.75" customHeight="1">
      <c r="A733" s="3"/>
      <c r="G733" s="6"/>
    </row>
    <row r="734" ht="15.75" customHeight="1">
      <c r="A734" s="3"/>
      <c r="G734" s="6"/>
    </row>
    <row r="735" ht="15.75" customHeight="1">
      <c r="A735" s="3"/>
      <c r="G735" s="6"/>
    </row>
    <row r="736" ht="15.75" customHeight="1">
      <c r="A736" s="3"/>
      <c r="G736" s="6"/>
    </row>
    <row r="737" ht="15.75" customHeight="1">
      <c r="A737" s="3"/>
      <c r="G737" s="6"/>
    </row>
    <row r="738" ht="15.75" customHeight="1">
      <c r="A738" s="3"/>
      <c r="G738" s="6"/>
    </row>
    <row r="739" ht="15.75" customHeight="1">
      <c r="A739" s="3"/>
      <c r="G739" s="6"/>
    </row>
    <row r="740" ht="15.75" customHeight="1">
      <c r="A740" s="3"/>
      <c r="G740" s="6"/>
    </row>
    <row r="741" ht="15.75" customHeight="1">
      <c r="A741" s="3"/>
      <c r="G741" s="6"/>
    </row>
    <row r="742" ht="15.75" customHeight="1">
      <c r="A742" s="3"/>
      <c r="G742" s="6"/>
    </row>
    <row r="743" ht="15.75" customHeight="1">
      <c r="A743" s="3"/>
      <c r="G743" s="6"/>
    </row>
    <row r="744" ht="15.75" customHeight="1">
      <c r="A744" s="3"/>
      <c r="G744" s="6"/>
    </row>
    <row r="745" ht="15.75" customHeight="1">
      <c r="A745" s="3"/>
      <c r="G745" s="6"/>
    </row>
    <row r="746" ht="15.75" customHeight="1">
      <c r="A746" s="3"/>
      <c r="G746" s="6"/>
    </row>
    <row r="747" ht="15.75" customHeight="1">
      <c r="A747" s="3"/>
      <c r="G747" s="6"/>
    </row>
    <row r="748" ht="15.75" customHeight="1">
      <c r="A748" s="3"/>
      <c r="G748" s="6"/>
    </row>
    <row r="749" ht="15.75" customHeight="1">
      <c r="A749" s="3"/>
      <c r="G749" s="6"/>
    </row>
    <row r="750" ht="15.75" customHeight="1">
      <c r="A750" s="3"/>
      <c r="G750" s="6"/>
    </row>
    <row r="751" ht="15.75" customHeight="1">
      <c r="A751" s="3"/>
      <c r="G751" s="6"/>
    </row>
    <row r="752" ht="15.75" customHeight="1">
      <c r="A752" s="3"/>
      <c r="G752" s="6"/>
    </row>
    <row r="753" ht="15.75" customHeight="1">
      <c r="A753" s="3"/>
      <c r="G753" s="6"/>
    </row>
    <row r="754" ht="15.75" customHeight="1">
      <c r="A754" s="3"/>
      <c r="G754" s="6"/>
    </row>
    <row r="755" ht="15.75" customHeight="1">
      <c r="A755" s="3"/>
      <c r="G755" s="6"/>
    </row>
    <row r="756" ht="15.75" customHeight="1">
      <c r="A756" s="3"/>
      <c r="G756" s="6"/>
    </row>
    <row r="757" ht="15.75" customHeight="1">
      <c r="A757" s="3"/>
      <c r="G757" s="6"/>
    </row>
    <row r="758" ht="15.75" customHeight="1">
      <c r="A758" s="3"/>
      <c r="G758" s="6"/>
    </row>
    <row r="759" ht="15.75" customHeight="1">
      <c r="A759" s="3"/>
      <c r="G759" s="6"/>
    </row>
    <row r="760" ht="15.75" customHeight="1">
      <c r="A760" s="3"/>
      <c r="G760" s="6"/>
    </row>
    <row r="761" ht="15.75" customHeight="1">
      <c r="A761" s="3"/>
      <c r="G761" s="6"/>
    </row>
    <row r="762" ht="15.75" customHeight="1">
      <c r="A762" s="3"/>
      <c r="G762" s="6"/>
    </row>
    <row r="763" ht="15.75" customHeight="1">
      <c r="A763" s="3"/>
      <c r="G763" s="6"/>
    </row>
    <row r="764" ht="15.75" customHeight="1">
      <c r="A764" s="3"/>
      <c r="G764" s="6"/>
    </row>
    <row r="765" ht="15.75" customHeight="1">
      <c r="A765" s="3"/>
      <c r="G765" s="6"/>
    </row>
    <row r="766" ht="15.75" customHeight="1">
      <c r="A766" s="3"/>
      <c r="G766" s="6"/>
    </row>
    <row r="767" ht="15.75" customHeight="1">
      <c r="A767" s="3"/>
      <c r="G767" s="6"/>
    </row>
    <row r="768" ht="15.75" customHeight="1">
      <c r="A768" s="3"/>
      <c r="G768" s="6"/>
    </row>
    <row r="769" ht="15.75" customHeight="1">
      <c r="A769" s="3"/>
      <c r="G769" s="6"/>
    </row>
    <row r="770" ht="15.75" customHeight="1">
      <c r="A770" s="3"/>
      <c r="G770" s="6"/>
    </row>
    <row r="771" ht="15.75" customHeight="1">
      <c r="A771" s="3"/>
      <c r="G771" s="6"/>
    </row>
    <row r="772" ht="15.75" customHeight="1">
      <c r="A772" s="3"/>
      <c r="G772" s="6"/>
    </row>
    <row r="773" ht="15.75" customHeight="1">
      <c r="A773" s="3"/>
      <c r="G773" s="6"/>
    </row>
    <row r="774" ht="15.75" customHeight="1">
      <c r="A774" s="3"/>
      <c r="G774" s="6"/>
    </row>
    <row r="775" ht="15.75" customHeight="1">
      <c r="A775" s="3"/>
      <c r="G775" s="6"/>
    </row>
    <row r="776" ht="15.75" customHeight="1">
      <c r="A776" s="3"/>
      <c r="G776" s="6"/>
    </row>
    <row r="777" ht="15.75" customHeight="1">
      <c r="A777" s="3"/>
      <c r="G777" s="6"/>
    </row>
    <row r="778" ht="15.75" customHeight="1">
      <c r="A778" s="3"/>
      <c r="G778" s="6"/>
    </row>
    <row r="779" ht="15.75" customHeight="1">
      <c r="A779" s="3"/>
      <c r="G779" s="6"/>
    </row>
    <row r="780" ht="15.75" customHeight="1">
      <c r="A780" s="3"/>
      <c r="G780" s="6"/>
    </row>
    <row r="781" ht="15.75" customHeight="1">
      <c r="A781" s="3"/>
      <c r="G781" s="6"/>
    </row>
    <row r="782" ht="15.75" customHeight="1">
      <c r="A782" s="3"/>
      <c r="G782" s="6"/>
    </row>
    <row r="783" ht="15.75" customHeight="1">
      <c r="A783" s="3"/>
      <c r="G783" s="6"/>
    </row>
    <row r="784" ht="15.75" customHeight="1">
      <c r="A784" s="3"/>
      <c r="G784" s="6"/>
    </row>
    <row r="785" ht="15.75" customHeight="1">
      <c r="A785" s="3"/>
      <c r="G785" s="6"/>
    </row>
    <row r="786" ht="15.75" customHeight="1">
      <c r="A786" s="3"/>
      <c r="G786" s="6"/>
    </row>
    <row r="787" ht="15.75" customHeight="1">
      <c r="A787" s="3"/>
      <c r="G787" s="6"/>
    </row>
    <row r="788" ht="15.75" customHeight="1">
      <c r="A788" s="3"/>
      <c r="G788" s="6"/>
    </row>
    <row r="789" ht="15.75" customHeight="1">
      <c r="A789" s="3"/>
      <c r="G789" s="6"/>
    </row>
    <row r="790" ht="15.75" customHeight="1">
      <c r="A790" s="3"/>
      <c r="G790" s="6"/>
    </row>
    <row r="791" ht="15.75" customHeight="1">
      <c r="A791" s="3"/>
      <c r="G791" s="6"/>
    </row>
    <row r="792" ht="15.75" customHeight="1">
      <c r="A792" s="3"/>
      <c r="G792" s="6"/>
    </row>
    <row r="793" ht="15.75" customHeight="1">
      <c r="A793" s="3"/>
      <c r="G793" s="6"/>
    </row>
    <row r="794" ht="15.75" customHeight="1">
      <c r="A794" s="3"/>
      <c r="G794" s="6"/>
    </row>
    <row r="795" ht="15.75" customHeight="1">
      <c r="A795" s="3"/>
      <c r="G795" s="6"/>
    </row>
    <row r="796" ht="15.75" customHeight="1">
      <c r="A796" s="3"/>
      <c r="G796" s="6"/>
    </row>
    <row r="797" ht="15.75" customHeight="1">
      <c r="A797" s="3"/>
      <c r="G797" s="6"/>
    </row>
    <row r="798" ht="15.75" customHeight="1">
      <c r="A798" s="3"/>
      <c r="G798" s="6"/>
    </row>
    <row r="799" ht="15.75" customHeight="1">
      <c r="A799" s="3"/>
      <c r="G799" s="6"/>
    </row>
    <row r="800" ht="15.75" customHeight="1">
      <c r="A800" s="3"/>
      <c r="G800" s="6"/>
    </row>
    <row r="801" ht="15.75" customHeight="1">
      <c r="A801" s="3"/>
      <c r="G801" s="6"/>
    </row>
    <row r="802" ht="15.75" customHeight="1">
      <c r="A802" s="3"/>
      <c r="G802" s="6"/>
    </row>
    <row r="803" ht="15.75" customHeight="1">
      <c r="A803" s="3"/>
      <c r="G803" s="6"/>
    </row>
    <row r="804" ht="15.75" customHeight="1">
      <c r="A804" s="3"/>
      <c r="G804" s="6"/>
    </row>
    <row r="805" ht="15.75" customHeight="1">
      <c r="A805" s="3"/>
      <c r="G805" s="6"/>
    </row>
    <row r="806" ht="15.75" customHeight="1">
      <c r="A806" s="3"/>
      <c r="G806" s="6"/>
    </row>
    <row r="807" ht="15.75" customHeight="1">
      <c r="A807" s="3"/>
      <c r="G807" s="6"/>
    </row>
    <row r="808" ht="15.75" customHeight="1">
      <c r="A808" s="3"/>
      <c r="G808" s="6"/>
    </row>
    <row r="809" ht="15.75" customHeight="1">
      <c r="A809" s="3"/>
      <c r="G809" s="6"/>
    </row>
    <row r="810" ht="15.75" customHeight="1">
      <c r="A810" s="3"/>
      <c r="G810" s="6"/>
    </row>
    <row r="811" ht="15.75" customHeight="1">
      <c r="A811" s="3"/>
      <c r="G811" s="6"/>
    </row>
    <row r="812" ht="15.75" customHeight="1">
      <c r="A812" s="3"/>
      <c r="G812" s="6"/>
    </row>
    <row r="813" ht="15.75" customHeight="1">
      <c r="A813" s="3"/>
      <c r="G813" s="6"/>
    </row>
    <row r="814" ht="15.75" customHeight="1">
      <c r="A814" s="3"/>
      <c r="G814" s="6"/>
    </row>
    <row r="815" ht="15.75" customHeight="1">
      <c r="A815" s="3"/>
      <c r="G815" s="6"/>
    </row>
    <row r="816" ht="15.75" customHeight="1">
      <c r="A816" s="3"/>
      <c r="G816" s="6"/>
    </row>
    <row r="817" ht="15.75" customHeight="1">
      <c r="A817" s="3"/>
      <c r="G817" s="6"/>
    </row>
    <row r="818" ht="15.75" customHeight="1">
      <c r="A818" s="3"/>
      <c r="G818" s="6"/>
    </row>
    <row r="819" ht="15.75" customHeight="1">
      <c r="A819" s="3"/>
      <c r="G819" s="6"/>
    </row>
    <row r="820" ht="15.75" customHeight="1">
      <c r="A820" s="3"/>
      <c r="G820" s="6"/>
    </row>
    <row r="821" ht="15.75" customHeight="1">
      <c r="A821" s="3"/>
      <c r="G821" s="6"/>
    </row>
    <row r="822" ht="15.75" customHeight="1">
      <c r="A822" s="3"/>
      <c r="G822" s="6"/>
    </row>
    <row r="823" ht="15.75" customHeight="1">
      <c r="A823" s="3"/>
      <c r="G823" s="6"/>
    </row>
    <row r="824" ht="15.75" customHeight="1">
      <c r="A824" s="3"/>
      <c r="G824" s="6"/>
    </row>
    <row r="825" ht="15.75" customHeight="1">
      <c r="A825" s="3"/>
      <c r="G825" s="6"/>
    </row>
    <row r="826" ht="15.75" customHeight="1">
      <c r="A826" s="3"/>
      <c r="G826" s="6"/>
    </row>
    <row r="827" ht="15.75" customHeight="1">
      <c r="A827" s="3"/>
      <c r="G827" s="6"/>
    </row>
    <row r="828" ht="15.75" customHeight="1">
      <c r="A828" s="3"/>
      <c r="G828" s="6"/>
    </row>
    <row r="829" ht="15.75" customHeight="1">
      <c r="A829" s="3"/>
      <c r="G829" s="6"/>
    </row>
    <row r="830" ht="15.75" customHeight="1">
      <c r="A830" s="3"/>
      <c r="G830" s="6"/>
    </row>
    <row r="831" ht="15.75" customHeight="1">
      <c r="A831" s="3"/>
      <c r="G831" s="6"/>
    </row>
    <row r="832" ht="15.75" customHeight="1">
      <c r="A832" s="3"/>
      <c r="G832" s="6"/>
    </row>
    <row r="833" ht="15.75" customHeight="1">
      <c r="A833" s="3"/>
      <c r="G833" s="6"/>
    </row>
    <row r="834" ht="15.75" customHeight="1">
      <c r="A834" s="3"/>
      <c r="G834" s="6"/>
    </row>
    <row r="835" ht="15.75" customHeight="1">
      <c r="A835" s="3"/>
      <c r="G835" s="6"/>
    </row>
    <row r="836" ht="15.75" customHeight="1">
      <c r="A836" s="3"/>
      <c r="G836" s="6"/>
    </row>
    <row r="837" ht="15.75" customHeight="1">
      <c r="A837" s="3"/>
      <c r="G837" s="6"/>
    </row>
    <row r="838" ht="15.75" customHeight="1">
      <c r="A838" s="3"/>
      <c r="G838" s="6"/>
    </row>
    <row r="839" ht="15.75" customHeight="1">
      <c r="A839" s="3"/>
      <c r="G839" s="6"/>
    </row>
    <row r="840" ht="15.75" customHeight="1">
      <c r="A840" s="3"/>
      <c r="G840" s="6"/>
    </row>
    <row r="841" ht="15.75" customHeight="1">
      <c r="A841" s="3"/>
      <c r="G841" s="6"/>
    </row>
    <row r="842" ht="15.75" customHeight="1">
      <c r="A842" s="3"/>
      <c r="G842" s="6"/>
    </row>
    <row r="843" ht="15.75" customHeight="1">
      <c r="A843" s="3"/>
      <c r="G843" s="6"/>
    </row>
    <row r="844" ht="15.75" customHeight="1">
      <c r="A844" s="3"/>
      <c r="G844" s="6"/>
    </row>
    <row r="845" ht="15.75" customHeight="1">
      <c r="A845" s="3"/>
      <c r="G845" s="6"/>
    </row>
    <row r="846" ht="15.75" customHeight="1">
      <c r="A846" s="3"/>
      <c r="G846" s="6"/>
    </row>
    <row r="847" ht="15.75" customHeight="1">
      <c r="A847" s="3"/>
      <c r="G847" s="6"/>
    </row>
    <row r="848" ht="15.75" customHeight="1">
      <c r="A848" s="3"/>
      <c r="G848" s="6"/>
    </row>
    <row r="849" ht="15.75" customHeight="1">
      <c r="A849" s="3"/>
      <c r="G849" s="6"/>
    </row>
    <row r="850" ht="15.75" customHeight="1">
      <c r="A850" s="3"/>
      <c r="G850" s="6"/>
    </row>
    <row r="851" ht="15.75" customHeight="1">
      <c r="A851" s="3"/>
      <c r="G851" s="6"/>
    </row>
    <row r="852" ht="15.75" customHeight="1">
      <c r="A852" s="3"/>
      <c r="G852" s="6"/>
    </row>
    <row r="853" ht="15.75" customHeight="1">
      <c r="A853" s="3"/>
      <c r="G853" s="6"/>
    </row>
    <row r="854" ht="15.75" customHeight="1">
      <c r="A854" s="3"/>
      <c r="G854" s="6"/>
    </row>
    <row r="855" ht="15.75" customHeight="1">
      <c r="A855" s="3"/>
      <c r="G855" s="6"/>
    </row>
    <row r="856" ht="15.75" customHeight="1">
      <c r="A856" s="3"/>
      <c r="G856" s="6"/>
    </row>
    <row r="857" ht="15.75" customHeight="1">
      <c r="A857" s="3"/>
      <c r="G857" s="6"/>
    </row>
    <row r="858" ht="15.75" customHeight="1">
      <c r="A858" s="3"/>
      <c r="G858" s="6"/>
    </row>
    <row r="859" ht="15.75" customHeight="1">
      <c r="A859" s="3"/>
      <c r="G859" s="6"/>
    </row>
    <row r="860" ht="15.75" customHeight="1">
      <c r="A860" s="3"/>
      <c r="G860" s="6"/>
    </row>
    <row r="861" ht="15.75" customHeight="1">
      <c r="A861" s="3"/>
      <c r="G861" s="6"/>
    </row>
    <row r="862" ht="15.75" customHeight="1">
      <c r="A862" s="3"/>
      <c r="G862" s="6"/>
    </row>
    <row r="863" ht="15.75" customHeight="1">
      <c r="A863" s="3"/>
      <c r="G863" s="6"/>
    </row>
    <row r="864" ht="15.75" customHeight="1">
      <c r="A864" s="3"/>
      <c r="G864" s="6"/>
    </row>
    <row r="865" ht="15.75" customHeight="1">
      <c r="A865" s="3"/>
      <c r="G865" s="6"/>
    </row>
    <row r="866" ht="15.75" customHeight="1">
      <c r="A866" s="3"/>
      <c r="G866" s="6"/>
    </row>
    <row r="867" ht="15.75" customHeight="1">
      <c r="A867" s="3"/>
      <c r="G867" s="6"/>
    </row>
    <row r="868" ht="15.75" customHeight="1">
      <c r="A868" s="3"/>
      <c r="G868" s="6"/>
    </row>
    <row r="869" ht="15.75" customHeight="1">
      <c r="A869" s="3"/>
      <c r="G869" s="6"/>
    </row>
    <row r="870" ht="15.75" customHeight="1">
      <c r="A870" s="3"/>
      <c r="G870" s="6"/>
    </row>
    <row r="871" ht="15.75" customHeight="1">
      <c r="A871" s="3"/>
      <c r="G871" s="6"/>
    </row>
    <row r="872" ht="15.75" customHeight="1">
      <c r="A872" s="3"/>
      <c r="G872" s="6"/>
    </row>
    <row r="873" ht="15.75" customHeight="1">
      <c r="A873" s="3"/>
      <c r="G873" s="6"/>
    </row>
    <row r="874" ht="15.75" customHeight="1">
      <c r="A874" s="3"/>
      <c r="G874" s="6"/>
    </row>
    <row r="875" ht="15.75" customHeight="1">
      <c r="A875" s="3"/>
      <c r="G875" s="6"/>
    </row>
    <row r="876" ht="15.75" customHeight="1">
      <c r="A876" s="3"/>
      <c r="G876" s="6"/>
    </row>
    <row r="877" ht="15.75" customHeight="1">
      <c r="A877" s="3"/>
      <c r="G877" s="6"/>
    </row>
    <row r="878" ht="15.75" customHeight="1">
      <c r="A878" s="3"/>
      <c r="G878" s="6"/>
    </row>
    <row r="879" ht="15.75" customHeight="1">
      <c r="A879" s="3"/>
      <c r="G879" s="6"/>
    </row>
    <row r="880" ht="15.75" customHeight="1">
      <c r="A880" s="3"/>
      <c r="G880" s="6"/>
    </row>
    <row r="881" ht="15.75" customHeight="1">
      <c r="A881" s="3"/>
      <c r="G881" s="6"/>
    </row>
    <row r="882" ht="15.75" customHeight="1">
      <c r="A882" s="3"/>
      <c r="G882" s="6"/>
    </row>
    <row r="883" ht="15.75" customHeight="1">
      <c r="A883" s="3"/>
      <c r="G883" s="6"/>
    </row>
    <row r="884" ht="15.75" customHeight="1">
      <c r="A884" s="3"/>
      <c r="G884" s="6"/>
    </row>
    <row r="885" ht="15.75" customHeight="1">
      <c r="A885" s="3"/>
      <c r="G885" s="6"/>
    </row>
    <row r="886" ht="15.75" customHeight="1">
      <c r="A886" s="3"/>
      <c r="G886" s="6"/>
    </row>
    <row r="887" ht="15.75" customHeight="1">
      <c r="A887" s="3"/>
      <c r="G887" s="6"/>
    </row>
    <row r="888" ht="15.75" customHeight="1">
      <c r="A888" s="3"/>
      <c r="G888" s="6"/>
    </row>
    <row r="889" ht="15.75" customHeight="1">
      <c r="A889" s="3"/>
      <c r="G889" s="6"/>
    </row>
    <row r="890" ht="15.75" customHeight="1">
      <c r="A890" s="3"/>
      <c r="G890" s="6"/>
    </row>
    <row r="891" ht="15.75" customHeight="1">
      <c r="A891" s="3"/>
      <c r="G891" s="6"/>
    </row>
    <row r="892" ht="15.75" customHeight="1">
      <c r="A892" s="3"/>
      <c r="G892" s="6"/>
    </row>
    <row r="893" ht="15.75" customHeight="1">
      <c r="A893" s="3"/>
      <c r="G893" s="6"/>
    </row>
    <row r="894" ht="15.75" customHeight="1">
      <c r="A894" s="3"/>
      <c r="G894" s="6"/>
    </row>
    <row r="895" ht="15.75" customHeight="1">
      <c r="A895" s="3"/>
      <c r="G895" s="6"/>
    </row>
    <row r="896" ht="15.75" customHeight="1">
      <c r="A896" s="3"/>
      <c r="G896" s="6"/>
    </row>
    <row r="897" ht="15.75" customHeight="1">
      <c r="A897" s="3"/>
      <c r="G897" s="6"/>
    </row>
    <row r="898" ht="15.75" customHeight="1">
      <c r="A898" s="3"/>
      <c r="G898" s="6"/>
    </row>
    <row r="899" ht="15.75" customHeight="1">
      <c r="A899" s="3"/>
      <c r="G899" s="6"/>
    </row>
    <row r="900" ht="15.75" customHeight="1">
      <c r="A900" s="3"/>
      <c r="G900" s="6"/>
    </row>
    <row r="901" ht="15.75" customHeight="1">
      <c r="A901" s="3"/>
      <c r="G901" s="6"/>
    </row>
    <row r="902" ht="15.75" customHeight="1">
      <c r="A902" s="3"/>
      <c r="G902" s="6"/>
    </row>
    <row r="903" ht="15.75" customHeight="1">
      <c r="A903" s="3"/>
      <c r="G903" s="6"/>
    </row>
    <row r="904" ht="15.75" customHeight="1">
      <c r="A904" s="3"/>
      <c r="G904" s="6"/>
    </row>
    <row r="905" ht="15.75" customHeight="1">
      <c r="A905" s="3"/>
      <c r="G905" s="6"/>
    </row>
    <row r="906" ht="15.75" customHeight="1">
      <c r="A906" s="3"/>
      <c r="G906" s="6"/>
    </row>
    <row r="907" ht="15.75" customHeight="1">
      <c r="A907" s="3"/>
      <c r="G907" s="6"/>
    </row>
    <row r="908" ht="15.75" customHeight="1">
      <c r="A908" s="3"/>
      <c r="G908" s="6"/>
    </row>
    <row r="909" ht="15.75" customHeight="1">
      <c r="A909" s="3"/>
      <c r="G909" s="6"/>
    </row>
    <row r="910" ht="15.75" customHeight="1">
      <c r="A910" s="3"/>
      <c r="G910" s="6"/>
    </row>
    <row r="911" ht="15.75" customHeight="1">
      <c r="A911" s="3"/>
      <c r="G911" s="6"/>
    </row>
    <row r="912" ht="15.75" customHeight="1">
      <c r="A912" s="3"/>
      <c r="G912" s="6"/>
    </row>
    <row r="913" ht="15.75" customHeight="1">
      <c r="A913" s="3"/>
      <c r="G913" s="6"/>
    </row>
    <row r="914" ht="15.75" customHeight="1">
      <c r="A914" s="3"/>
      <c r="G914" s="6"/>
    </row>
    <row r="915" ht="15.75" customHeight="1">
      <c r="A915" s="3"/>
      <c r="G915" s="6"/>
    </row>
    <row r="916" ht="15.75" customHeight="1">
      <c r="A916" s="3"/>
      <c r="G916" s="6"/>
    </row>
    <row r="917" ht="15.75" customHeight="1">
      <c r="A917" s="3"/>
      <c r="G917" s="6"/>
    </row>
    <row r="918" ht="15.75" customHeight="1">
      <c r="A918" s="3"/>
      <c r="G918" s="6"/>
    </row>
    <row r="919" ht="15.75" customHeight="1">
      <c r="A919" s="3"/>
      <c r="G919" s="6"/>
    </row>
    <row r="920" ht="15.75" customHeight="1">
      <c r="A920" s="3"/>
      <c r="G920" s="6"/>
    </row>
    <row r="921" ht="15.75" customHeight="1">
      <c r="A921" s="3"/>
      <c r="G921" s="6"/>
    </row>
    <row r="922" ht="15.75" customHeight="1">
      <c r="A922" s="3"/>
      <c r="G922" s="6"/>
    </row>
    <row r="923" ht="15.75" customHeight="1">
      <c r="A923" s="3"/>
      <c r="G923" s="6"/>
    </row>
    <row r="924" ht="15.75" customHeight="1">
      <c r="A924" s="3"/>
      <c r="G924" s="6"/>
    </row>
    <row r="925" ht="15.75" customHeight="1">
      <c r="A925" s="3"/>
      <c r="G925" s="6"/>
    </row>
    <row r="926" ht="15.75" customHeight="1">
      <c r="A926" s="3"/>
      <c r="G926" s="6"/>
    </row>
    <row r="927" ht="15.75" customHeight="1">
      <c r="A927" s="3"/>
      <c r="G927" s="6"/>
    </row>
    <row r="928" ht="15.75" customHeight="1">
      <c r="A928" s="3"/>
      <c r="G928" s="6"/>
    </row>
    <row r="929" ht="15.75" customHeight="1">
      <c r="A929" s="3"/>
      <c r="G929" s="6"/>
    </row>
    <row r="930" ht="15.75" customHeight="1">
      <c r="A930" s="3"/>
      <c r="G930" s="6"/>
    </row>
    <row r="931" ht="15.75" customHeight="1">
      <c r="A931" s="3"/>
      <c r="G931" s="6"/>
    </row>
    <row r="932" ht="15.75" customHeight="1">
      <c r="A932" s="3"/>
      <c r="G932" s="6"/>
    </row>
    <row r="933" ht="15.75" customHeight="1">
      <c r="A933" s="3"/>
      <c r="G933" s="6"/>
    </row>
    <row r="934" ht="15.75" customHeight="1">
      <c r="A934" s="3"/>
      <c r="G934" s="6"/>
    </row>
    <row r="935" ht="15.75" customHeight="1">
      <c r="A935" s="3"/>
      <c r="G935" s="6"/>
    </row>
    <row r="936" ht="15.75" customHeight="1">
      <c r="A936" s="3"/>
      <c r="G936" s="6"/>
    </row>
    <row r="937" ht="15.75" customHeight="1">
      <c r="A937" s="3"/>
      <c r="G937" s="6"/>
    </row>
    <row r="938" ht="15.75" customHeight="1">
      <c r="A938" s="3"/>
      <c r="G938" s="6"/>
    </row>
    <row r="939" ht="15.75" customHeight="1">
      <c r="A939" s="3"/>
      <c r="G939" s="6"/>
    </row>
    <row r="940" ht="15.75" customHeight="1">
      <c r="A940" s="3"/>
      <c r="G940" s="6"/>
    </row>
    <row r="941" ht="15.75" customHeight="1">
      <c r="A941" s="3"/>
      <c r="G941" s="6"/>
    </row>
    <row r="942" ht="15.75" customHeight="1">
      <c r="A942" s="3"/>
      <c r="G942" s="6"/>
    </row>
    <row r="943" ht="15.75" customHeight="1">
      <c r="A943" s="3"/>
      <c r="G943" s="6"/>
    </row>
    <row r="944" ht="15.75" customHeight="1">
      <c r="A944" s="3"/>
      <c r="G944" s="6"/>
    </row>
    <row r="945" ht="15.75" customHeight="1">
      <c r="A945" s="3"/>
      <c r="G945" s="6"/>
    </row>
    <row r="946" ht="15.75" customHeight="1">
      <c r="A946" s="3"/>
      <c r="G946" s="6"/>
    </row>
    <row r="947" ht="15.75" customHeight="1">
      <c r="A947" s="3"/>
      <c r="G947" s="6"/>
    </row>
    <row r="948" ht="15.75" customHeight="1">
      <c r="A948" s="3"/>
      <c r="G948" s="6"/>
    </row>
    <row r="949" ht="15.75" customHeight="1">
      <c r="A949" s="3"/>
      <c r="G949" s="6"/>
    </row>
    <row r="950" ht="15.75" customHeight="1">
      <c r="A950" s="3"/>
      <c r="G950" s="6"/>
    </row>
    <row r="951" ht="15.75" customHeight="1">
      <c r="A951" s="3"/>
      <c r="G951" s="6"/>
    </row>
    <row r="952" ht="15.75" customHeight="1">
      <c r="A952" s="3"/>
      <c r="G952" s="6"/>
    </row>
    <row r="953" ht="15.75" customHeight="1">
      <c r="A953" s="3"/>
      <c r="G953" s="6"/>
    </row>
    <row r="954" ht="15.75" customHeight="1">
      <c r="A954" s="3"/>
      <c r="G954" s="6"/>
    </row>
    <row r="955" ht="15.75" customHeight="1">
      <c r="A955" s="3"/>
      <c r="G955" s="6"/>
    </row>
    <row r="956" ht="15.75" customHeight="1">
      <c r="A956" s="3"/>
      <c r="G956" s="6"/>
    </row>
    <row r="957" ht="15.75" customHeight="1">
      <c r="A957" s="3"/>
      <c r="G957" s="6"/>
    </row>
    <row r="958" ht="15.75" customHeight="1">
      <c r="A958" s="3"/>
      <c r="G958" s="6"/>
    </row>
    <row r="959" ht="15.75" customHeight="1">
      <c r="A959" s="3"/>
      <c r="G959" s="6"/>
    </row>
    <row r="960" ht="15.75" customHeight="1">
      <c r="A960" s="3"/>
      <c r="G960" s="6"/>
    </row>
    <row r="961" ht="15.75" customHeight="1">
      <c r="A961" s="3"/>
      <c r="G961" s="6"/>
    </row>
    <row r="962" ht="15.75" customHeight="1">
      <c r="A962" s="3"/>
      <c r="G962" s="6"/>
    </row>
    <row r="963" ht="15.75" customHeight="1">
      <c r="A963" s="3"/>
      <c r="G963" s="6"/>
    </row>
    <row r="964" ht="15.75" customHeight="1">
      <c r="A964" s="3"/>
      <c r="G964" s="6"/>
    </row>
    <row r="965" ht="15.75" customHeight="1">
      <c r="A965" s="3"/>
      <c r="G965" s="6"/>
    </row>
    <row r="966" ht="15.75" customHeight="1">
      <c r="A966" s="3"/>
      <c r="G966" s="6"/>
    </row>
    <row r="967" ht="15.75" customHeight="1">
      <c r="A967" s="3"/>
      <c r="G967" s="6"/>
    </row>
    <row r="968" ht="15.75" customHeight="1">
      <c r="A968" s="3"/>
      <c r="G968" s="6"/>
    </row>
    <row r="969" ht="15.75" customHeight="1">
      <c r="A969" s="3"/>
      <c r="G969" s="6"/>
    </row>
    <row r="970" ht="15.75" customHeight="1">
      <c r="A970" s="3"/>
      <c r="G970" s="6"/>
    </row>
    <row r="971" ht="15.75" customHeight="1">
      <c r="A971" s="3"/>
      <c r="G971" s="6"/>
    </row>
    <row r="972" ht="15.75" customHeight="1">
      <c r="A972" s="3"/>
      <c r="G972" s="6"/>
    </row>
    <row r="973" ht="15.75" customHeight="1">
      <c r="A973" s="3"/>
      <c r="G973" s="6"/>
    </row>
    <row r="974" ht="15.75" customHeight="1">
      <c r="A974" s="3"/>
      <c r="G974" s="6"/>
    </row>
    <row r="975" ht="15.75" customHeight="1">
      <c r="A975" s="3"/>
      <c r="G975" s="6"/>
    </row>
    <row r="976" ht="15.75" customHeight="1">
      <c r="A976" s="3"/>
      <c r="G976" s="6"/>
    </row>
    <row r="977" ht="15.75" customHeight="1">
      <c r="A977" s="3"/>
      <c r="G977" s="6"/>
    </row>
    <row r="978" ht="15.75" customHeight="1">
      <c r="A978" s="3"/>
      <c r="G978" s="6"/>
    </row>
    <row r="979" ht="15.75" customHeight="1">
      <c r="A979" s="3"/>
      <c r="G979" s="6"/>
    </row>
    <row r="980" ht="15.75" customHeight="1">
      <c r="A980" s="3"/>
      <c r="G980" s="6"/>
    </row>
    <row r="981" ht="15.75" customHeight="1">
      <c r="A981" s="3"/>
      <c r="G981" s="6"/>
    </row>
    <row r="982" ht="15.75" customHeight="1">
      <c r="A982" s="3"/>
      <c r="G982" s="6"/>
    </row>
    <row r="983" ht="15.75" customHeight="1">
      <c r="A983" s="3"/>
      <c r="G983" s="6"/>
    </row>
    <row r="984" ht="15.75" customHeight="1">
      <c r="A984" s="3"/>
      <c r="G984" s="6"/>
    </row>
    <row r="985" ht="15.75" customHeight="1">
      <c r="A985" s="3"/>
      <c r="G985" s="6"/>
    </row>
    <row r="986" ht="15.75" customHeight="1">
      <c r="A986" s="3"/>
      <c r="G986" s="6"/>
    </row>
    <row r="987" ht="15.75" customHeight="1">
      <c r="A987" s="3"/>
      <c r="G987" s="6"/>
    </row>
    <row r="988" ht="15.75" customHeight="1">
      <c r="A988" s="3"/>
      <c r="G988" s="6"/>
    </row>
    <row r="989" ht="15.75" customHeight="1">
      <c r="A989" s="3"/>
      <c r="G989" s="6"/>
    </row>
    <row r="990" ht="15.75" customHeight="1">
      <c r="A990" s="3"/>
      <c r="G990" s="6"/>
    </row>
    <row r="991" ht="15.75" customHeight="1">
      <c r="A991" s="3"/>
      <c r="G991" s="6"/>
    </row>
    <row r="992" ht="15.75" customHeight="1">
      <c r="A992" s="3"/>
      <c r="G992" s="6"/>
    </row>
    <row r="993" ht="15.75" customHeight="1">
      <c r="A993" s="3"/>
      <c r="G993" s="6"/>
    </row>
    <row r="994" ht="15.75" customHeight="1">
      <c r="A994" s="3"/>
      <c r="G994" s="6"/>
    </row>
    <row r="995" ht="15.75" customHeight="1">
      <c r="A995" s="3"/>
      <c r="G995" s="6"/>
    </row>
    <row r="996" ht="15.75" customHeight="1">
      <c r="A996" s="3"/>
      <c r="G996" s="6"/>
    </row>
    <row r="997" ht="15.75" customHeight="1">
      <c r="A997" s="3"/>
      <c r="G997" s="6"/>
    </row>
    <row r="998" ht="15.75" customHeight="1">
      <c r="A998" s="3"/>
      <c r="G998" s="6"/>
    </row>
    <row r="999" ht="15.75" customHeight="1">
      <c r="A999" s="3"/>
      <c r="G999" s="6"/>
    </row>
    <row r="1000" ht="15.75" customHeight="1">
      <c r="A1000" s="3"/>
      <c r="G10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14.67"/>
    <col customWidth="1" min="3" max="3" width="9.33"/>
    <col customWidth="1" min="4" max="4" width="16.56"/>
    <col customWidth="1" min="5" max="5" width="13.44"/>
    <col customWidth="1" min="6" max="6" width="11.89"/>
    <col customWidth="1" min="7" max="7" width="11.33"/>
    <col customWidth="1" min="8" max="8" width="16.44"/>
    <col customWidth="1" min="9" max="9" width="10.56"/>
    <col customWidth="1" min="10" max="10" width="11.22"/>
    <col customWidth="1" min="11" max="11" width="11.56"/>
    <col customWidth="1" min="12" max="12" width="4.67"/>
    <col customWidth="1" min="13" max="26" width="10.56"/>
  </cols>
  <sheetData>
    <row r="1" ht="15.75" customHeight="1"/>
    <row r="2" ht="15.75" customHeight="1"/>
    <row r="3" ht="15.75" customHeight="1">
      <c r="I3" s="11" t="s">
        <v>13</v>
      </c>
      <c r="J3" s="11" t="s">
        <v>14</v>
      </c>
      <c r="K3" s="11" t="s">
        <v>15</v>
      </c>
    </row>
    <row r="4" ht="15.75" customHeight="1">
      <c r="I4" s="14">
        <f t="shared" ref="I4:I16" si="1">G4/H4</f>
        <v>0.01866396531</v>
      </c>
      <c r="J4" s="15">
        <f t="shared" ref="J4:J16" si="2">(F4/H4)*1000</f>
        <v>28.59392229</v>
      </c>
      <c r="K4" s="15">
        <f t="shared" ref="K4:K16" si="3">F4/G4</f>
        <v>1.532038975</v>
      </c>
    </row>
    <row r="5" ht="15.75" customHeight="1">
      <c r="I5" s="14">
        <f t="shared" si="1"/>
        <v>0.01973647927</v>
      </c>
      <c r="J5" s="15">
        <f t="shared" si="2"/>
        <v>29.13252746</v>
      </c>
      <c r="K5" s="15">
        <f t="shared" si="3"/>
        <v>1.476075194</v>
      </c>
    </row>
    <row r="6" ht="15.75" customHeight="1">
      <c r="I6" s="14">
        <f t="shared" si="1"/>
        <v>0.02044724839</v>
      </c>
      <c r="J6" s="15">
        <f t="shared" si="2"/>
        <v>29.71459156</v>
      </c>
      <c r="K6" s="15">
        <f t="shared" si="3"/>
        <v>1.453231799</v>
      </c>
    </row>
    <row r="7" ht="15.75" customHeight="1">
      <c r="I7" s="14">
        <f t="shared" si="1"/>
        <v>0.01922870401</v>
      </c>
      <c r="J7" s="15">
        <f t="shared" si="2"/>
        <v>30.49638441</v>
      </c>
      <c r="K7" s="15">
        <f t="shared" si="3"/>
        <v>1.58598231</v>
      </c>
    </row>
    <row r="8" ht="15.75" customHeight="1">
      <c r="I8" s="14">
        <f t="shared" si="1"/>
        <v>0.01975377217</v>
      </c>
      <c r="J8" s="15">
        <f t="shared" si="2"/>
        <v>31.17827216</v>
      </c>
      <c r="K8" s="15">
        <f t="shared" si="3"/>
        <v>1.578345234</v>
      </c>
    </row>
    <row r="9" ht="15.75" customHeight="1">
      <c r="I9" s="14">
        <f t="shared" si="1"/>
        <v>0.02148979379</v>
      </c>
      <c r="J9" s="15">
        <f t="shared" si="2"/>
        <v>32.92375331</v>
      </c>
      <c r="K9" s="15">
        <f t="shared" si="3"/>
        <v>1.532064646</v>
      </c>
    </row>
    <row r="10" ht="15.75" customHeight="1">
      <c r="I10" s="14">
        <f t="shared" si="1"/>
        <v>0.0215187646</v>
      </c>
      <c r="J10" s="15">
        <f t="shared" si="2"/>
        <v>32.18396893</v>
      </c>
      <c r="K10" s="15">
        <f t="shared" si="3"/>
        <v>1.495623449</v>
      </c>
    </row>
    <row r="11" ht="15.75" customHeight="1">
      <c r="I11" s="14">
        <f t="shared" si="1"/>
        <v>0.01958708026</v>
      </c>
      <c r="J11" s="15">
        <f t="shared" si="2"/>
        <v>29.82670962</v>
      </c>
      <c r="K11" s="15">
        <f t="shared" si="3"/>
        <v>1.522774667</v>
      </c>
    </row>
    <row r="12" ht="15.75" customHeight="1">
      <c r="I12" s="14">
        <f t="shared" si="1"/>
        <v>0.01916661224</v>
      </c>
      <c r="J12" s="15">
        <f t="shared" si="2"/>
        <v>28.50086389</v>
      </c>
      <c r="K12" s="15">
        <f t="shared" si="3"/>
        <v>1.487005817</v>
      </c>
    </row>
    <row r="13" ht="15.75" customHeight="1">
      <c r="I13" s="14">
        <f t="shared" si="1"/>
        <v>0.02028532967</v>
      </c>
      <c r="J13" s="15">
        <f t="shared" si="2"/>
        <v>27.83705595</v>
      </c>
      <c r="K13" s="15">
        <f t="shared" si="3"/>
        <v>1.372275256</v>
      </c>
    </row>
    <row r="14" ht="15.75" customHeight="1">
      <c r="I14" s="14">
        <f t="shared" si="1"/>
        <v>0.01983138109</v>
      </c>
      <c r="J14" s="15">
        <f t="shared" si="2"/>
        <v>27.71997048</v>
      </c>
      <c r="K14" s="15">
        <f t="shared" si="3"/>
        <v>1.397783157</v>
      </c>
    </row>
    <row r="15" ht="15.75" customHeight="1">
      <c r="I15" s="14">
        <f t="shared" si="1"/>
        <v>0.02041816576</v>
      </c>
      <c r="J15" s="15">
        <f t="shared" si="2"/>
        <v>30.21642825</v>
      </c>
      <c r="K15" s="15">
        <f t="shared" si="3"/>
        <v>1.479879663</v>
      </c>
    </row>
    <row r="16" ht="15.75" customHeight="1">
      <c r="I16" s="14">
        <f t="shared" si="1"/>
        <v>0.02001716382</v>
      </c>
      <c r="J16" s="15">
        <f t="shared" si="2"/>
        <v>29.9045745</v>
      </c>
      <c r="K16" s="15">
        <f t="shared" si="3"/>
        <v>1.493946633</v>
      </c>
    </row>
    <row r="17" ht="15.75" customHeight="1">
      <c r="I17" s="14"/>
    </row>
    <row r="18" ht="15.75" customHeight="1">
      <c r="I18" s="14"/>
    </row>
    <row r="19" ht="15.75" customHeight="1">
      <c r="I19" s="14"/>
    </row>
    <row r="20" ht="15.75" customHeight="1">
      <c r="I20" s="14"/>
    </row>
    <row r="21" ht="15.75" customHeight="1">
      <c r="I21" s="14"/>
    </row>
    <row r="22" ht="15.75" customHeight="1">
      <c r="I22" s="14"/>
    </row>
    <row r="23" ht="15.75" customHeight="1">
      <c r="I23" s="14"/>
    </row>
    <row r="24" ht="15.75" customHeight="1">
      <c r="I24" s="14"/>
    </row>
    <row r="25" ht="15.75" customHeight="1">
      <c r="I25" s="14"/>
    </row>
    <row r="26" ht="15.75" customHeight="1">
      <c r="I26" s="14"/>
    </row>
    <row r="27" ht="15.75" customHeight="1">
      <c r="I27" s="14"/>
    </row>
    <row r="28" ht="15.75" customHeight="1">
      <c r="I28" s="14"/>
    </row>
    <row r="29" ht="15.75" customHeight="1">
      <c r="I29" s="14"/>
    </row>
    <row r="30" ht="15.75" customHeight="1">
      <c r="I30" s="14"/>
    </row>
    <row r="31" ht="15.75" customHeight="1">
      <c r="I31" s="14"/>
    </row>
    <row r="32" ht="15.75" customHeight="1">
      <c r="I32" s="14"/>
    </row>
    <row r="33" ht="15.75" customHeight="1">
      <c r="I33" s="14"/>
    </row>
    <row r="34" ht="15.75" customHeight="1">
      <c r="I34" s="14"/>
    </row>
    <row r="35" ht="15.75" customHeight="1">
      <c r="I35" s="14"/>
    </row>
    <row r="36" ht="15.75" customHeight="1">
      <c r="I36" s="14"/>
    </row>
    <row r="37" ht="15.75" customHeight="1">
      <c r="I37" s="14"/>
    </row>
    <row r="38" ht="15.75" customHeight="1">
      <c r="I38" s="14"/>
    </row>
    <row r="39" ht="15.75" customHeight="1">
      <c r="I39" s="14"/>
    </row>
    <row r="40" ht="15.75" customHeight="1">
      <c r="I40" s="14"/>
    </row>
    <row r="41" ht="15.75" customHeight="1">
      <c r="I41" s="14"/>
    </row>
    <row r="42" ht="15.75" customHeight="1">
      <c r="I42" s="14"/>
    </row>
    <row r="43" ht="15.75" customHeight="1">
      <c r="I43" s="14"/>
    </row>
    <row r="44" ht="15.75" customHeight="1">
      <c r="I44" s="14"/>
    </row>
    <row r="45" ht="15.75" customHeight="1">
      <c r="I45" s="14"/>
    </row>
    <row r="46" ht="15.75" customHeight="1">
      <c r="I46" s="14"/>
    </row>
    <row r="47" ht="15.75" customHeight="1">
      <c r="I47" s="14"/>
    </row>
    <row r="48" ht="15.75" customHeight="1">
      <c r="I48" s="14"/>
    </row>
    <row r="49" ht="15.75" customHeight="1">
      <c r="I49" s="14"/>
    </row>
    <row r="50" ht="15.75" customHeight="1">
      <c r="I50" s="14"/>
    </row>
    <row r="51" ht="15.75" customHeight="1">
      <c r="I51" s="14"/>
    </row>
    <row r="52" ht="15.75" customHeight="1">
      <c r="I52" s="14"/>
    </row>
    <row r="53" ht="15.75" customHeight="1">
      <c r="I53" s="14"/>
    </row>
    <row r="54" ht="15.75" customHeight="1">
      <c r="I54" s="14"/>
    </row>
    <row r="55" ht="15.75" customHeight="1">
      <c r="I55" s="14"/>
    </row>
    <row r="56" ht="15.75" customHeight="1">
      <c r="I56" s="14"/>
    </row>
    <row r="57" ht="15.75" customHeight="1">
      <c r="I57" s="14"/>
    </row>
    <row r="58" ht="15.75" customHeight="1">
      <c r="I58" s="14"/>
    </row>
    <row r="59" ht="15.75" customHeight="1">
      <c r="I59" s="14"/>
    </row>
    <row r="60" ht="15.75" customHeight="1">
      <c r="I60" s="14"/>
    </row>
    <row r="61" ht="15.75" customHeight="1">
      <c r="I61" s="14"/>
    </row>
    <row r="62" ht="15.75" customHeight="1">
      <c r="I62" s="14"/>
    </row>
    <row r="63" ht="15.75" customHeight="1">
      <c r="I63" s="14"/>
    </row>
    <row r="64" ht="15.75" customHeight="1">
      <c r="I64" s="14"/>
    </row>
    <row r="65" ht="15.75" customHeight="1">
      <c r="I65" s="14"/>
    </row>
    <row r="66" ht="15.75" customHeight="1">
      <c r="I66" s="14"/>
    </row>
    <row r="67" ht="15.75" customHeight="1">
      <c r="I67" s="14"/>
    </row>
    <row r="68" ht="15.75" customHeight="1">
      <c r="I68" s="14"/>
    </row>
    <row r="69" ht="15.75" customHeight="1">
      <c r="I69" s="14"/>
    </row>
    <row r="70" ht="15.75" customHeight="1">
      <c r="I70" s="14"/>
    </row>
    <row r="71" ht="15.75" customHeight="1">
      <c r="I71" s="14"/>
    </row>
    <row r="72" ht="15.75" customHeight="1">
      <c r="I72" s="14"/>
    </row>
    <row r="73" ht="15.75" customHeight="1">
      <c r="I73" s="14"/>
    </row>
    <row r="74" ht="15.75" customHeight="1">
      <c r="I74" s="14"/>
    </row>
    <row r="75" ht="15.75" customHeight="1">
      <c r="I75" s="14"/>
    </row>
    <row r="76" ht="15.75" customHeight="1">
      <c r="I76" s="14"/>
    </row>
    <row r="77" ht="15.75" customHeight="1">
      <c r="I77" s="14"/>
    </row>
    <row r="78" ht="15.75" customHeight="1">
      <c r="I78" s="14"/>
    </row>
    <row r="79" ht="15.75" customHeight="1">
      <c r="I79" s="14"/>
    </row>
    <row r="80" ht="15.75" customHeight="1">
      <c r="I80" s="14"/>
    </row>
    <row r="81" ht="15.75" customHeight="1">
      <c r="I81" s="14"/>
    </row>
    <row r="82" ht="15.75" customHeight="1">
      <c r="I82" s="14"/>
    </row>
    <row r="83" ht="15.75" customHeight="1">
      <c r="I83" s="14"/>
    </row>
    <row r="84" ht="15.75" customHeight="1">
      <c r="I84" s="14"/>
    </row>
    <row r="85" ht="15.75" customHeight="1">
      <c r="I85" s="14"/>
    </row>
    <row r="86" ht="15.75" customHeight="1">
      <c r="I86" s="14"/>
    </row>
    <row r="87" ht="15.75" customHeight="1">
      <c r="I87" s="14"/>
    </row>
    <row r="88" ht="15.75" customHeight="1">
      <c r="I88" s="14"/>
    </row>
    <row r="89" ht="15.75" customHeight="1">
      <c r="I89" s="14"/>
    </row>
    <row r="90" ht="15.75" customHeight="1">
      <c r="I90" s="14"/>
    </row>
    <row r="91" ht="15.75" customHeight="1">
      <c r="I91" s="14"/>
    </row>
    <row r="92" ht="15.75" customHeight="1">
      <c r="I92" s="14"/>
    </row>
    <row r="93" ht="15.75" customHeight="1">
      <c r="I93" s="14"/>
    </row>
    <row r="94" ht="15.75" customHeight="1">
      <c r="I94" s="14"/>
    </row>
    <row r="95" ht="15.75" customHeight="1">
      <c r="I95" s="14"/>
    </row>
    <row r="96" ht="15.75" customHeight="1">
      <c r="I96" s="14"/>
    </row>
    <row r="97" ht="15.75" customHeight="1">
      <c r="I97" s="14"/>
    </row>
    <row r="98" ht="15.75" customHeight="1">
      <c r="I98" s="14"/>
    </row>
    <row r="99" ht="15.75" customHeight="1">
      <c r="I99" s="14"/>
    </row>
    <row r="100" ht="15.75" customHeight="1">
      <c r="I100" s="14"/>
    </row>
    <row r="101" ht="15.75" customHeight="1">
      <c r="I101" s="14"/>
    </row>
    <row r="102" ht="15.75" customHeight="1">
      <c r="I102" s="14"/>
    </row>
    <row r="103" ht="15.75" customHeight="1">
      <c r="I103" s="14"/>
    </row>
    <row r="104" ht="15.75" customHeight="1">
      <c r="I104" s="14"/>
    </row>
    <row r="105" ht="15.75" customHeight="1">
      <c r="I105" s="14"/>
    </row>
    <row r="106" ht="15.75" customHeight="1">
      <c r="I106" s="14"/>
    </row>
    <row r="107" ht="15.75" customHeight="1">
      <c r="I107" s="14"/>
    </row>
    <row r="108" ht="15.75" customHeight="1">
      <c r="I108" s="14"/>
    </row>
    <row r="109" ht="15.75" customHeight="1">
      <c r="I109" s="14"/>
    </row>
    <row r="110" ht="15.75" customHeight="1">
      <c r="I110" s="14"/>
    </row>
    <row r="111" ht="15.75" customHeight="1">
      <c r="I111" s="14"/>
    </row>
    <row r="112" ht="15.75" customHeight="1">
      <c r="I112" s="14"/>
    </row>
    <row r="113" ht="15.75" customHeight="1">
      <c r="I113" s="14"/>
    </row>
    <row r="114" ht="15.75" customHeight="1">
      <c r="I114" s="14"/>
    </row>
    <row r="115" ht="15.75" customHeight="1">
      <c r="I115" s="14"/>
    </row>
    <row r="116" ht="15.75" customHeight="1">
      <c r="I116" s="14"/>
    </row>
    <row r="117" ht="15.75" customHeight="1">
      <c r="I117" s="14"/>
    </row>
    <row r="118" ht="15.75" customHeight="1">
      <c r="I118" s="14"/>
    </row>
    <row r="119" ht="15.75" customHeight="1">
      <c r="I119" s="14"/>
    </row>
    <row r="120" ht="15.75" customHeight="1">
      <c r="I120" s="14"/>
    </row>
    <row r="121" ht="15.75" customHeight="1">
      <c r="I121" s="14"/>
    </row>
    <row r="122" ht="15.75" customHeight="1">
      <c r="I122" s="14"/>
    </row>
    <row r="123" ht="15.75" customHeight="1">
      <c r="I123" s="14"/>
    </row>
    <row r="124" ht="15.75" customHeight="1">
      <c r="I124" s="14"/>
    </row>
    <row r="125" ht="15.75" customHeight="1">
      <c r="I125" s="14"/>
    </row>
    <row r="126" ht="15.75" customHeight="1">
      <c r="I126" s="14"/>
    </row>
    <row r="127" ht="15.75" customHeight="1">
      <c r="I127" s="14"/>
    </row>
    <row r="128" ht="15.75" customHeight="1">
      <c r="I128" s="14"/>
    </row>
    <row r="129" ht="15.75" customHeight="1">
      <c r="I129" s="14"/>
    </row>
    <row r="130" ht="15.75" customHeight="1">
      <c r="I130" s="14"/>
    </row>
    <row r="131" ht="15.75" customHeight="1">
      <c r="I131" s="14"/>
    </row>
    <row r="132" ht="15.75" customHeight="1">
      <c r="I132" s="14"/>
    </row>
    <row r="133" ht="15.75" customHeight="1">
      <c r="I133" s="14"/>
    </row>
    <row r="134" ht="15.75" customHeight="1">
      <c r="I134" s="14"/>
    </row>
    <row r="135" ht="15.75" customHeight="1">
      <c r="I135" s="14"/>
    </row>
    <row r="136" ht="15.75" customHeight="1">
      <c r="I136" s="14"/>
    </row>
    <row r="137" ht="15.75" customHeight="1">
      <c r="I137" s="14"/>
    </row>
    <row r="138" ht="15.75" customHeight="1">
      <c r="I138" s="14"/>
    </row>
    <row r="139" ht="15.75" customHeight="1">
      <c r="I139" s="14"/>
    </row>
    <row r="140" ht="15.75" customHeight="1">
      <c r="I140" s="14"/>
    </row>
    <row r="141" ht="15.75" customHeight="1">
      <c r="I141" s="14"/>
    </row>
    <row r="142" ht="15.75" customHeight="1">
      <c r="I142" s="14"/>
    </row>
    <row r="143" ht="15.75" customHeight="1">
      <c r="I143" s="14"/>
    </row>
    <row r="144" ht="15.75" customHeight="1">
      <c r="I144" s="14"/>
    </row>
    <row r="145" ht="15.75" customHeight="1">
      <c r="I145" s="14"/>
    </row>
    <row r="146" ht="15.75" customHeight="1">
      <c r="I146" s="14"/>
    </row>
    <row r="147" ht="15.75" customHeight="1">
      <c r="I147" s="14"/>
    </row>
    <row r="148" ht="15.75" customHeight="1">
      <c r="I148" s="14"/>
    </row>
    <row r="149" ht="15.75" customHeight="1">
      <c r="I149" s="14"/>
    </row>
    <row r="150" ht="15.75" customHeight="1">
      <c r="I150" s="14"/>
    </row>
    <row r="151" ht="15.75" customHeight="1">
      <c r="I151" s="14"/>
    </row>
    <row r="152" ht="15.75" customHeight="1">
      <c r="I152" s="14"/>
    </row>
    <row r="153" ht="15.75" customHeight="1">
      <c r="I153" s="14"/>
    </row>
    <row r="154" ht="15.75" customHeight="1">
      <c r="I154" s="14"/>
    </row>
    <row r="155" ht="15.75" customHeight="1">
      <c r="I155" s="14"/>
    </row>
    <row r="156" ht="15.75" customHeight="1">
      <c r="I156" s="14"/>
    </row>
    <row r="157" ht="15.75" customHeight="1">
      <c r="I157" s="14"/>
    </row>
    <row r="158" ht="15.75" customHeight="1">
      <c r="I158" s="14"/>
    </row>
    <row r="159" ht="15.75" customHeight="1">
      <c r="I159" s="14"/>
    </row>
    <row r="160" ht="15.75" customHeight="1">
      <c r="I160" s="14"/>
    </row>
    <row r="161" ht="15.75" customHeight="1">
      <c r="I161" s="14"/>
    </row>
    <row r="162" ht="15.75" customHeight="1">
      <c r="I162" s="14"/>
    </row>
    <row r="163" ht="15.75" customHeight="1">
      <c r="I163" s="14"/>
    </row>
    <row r="164" ht="15.75" customHeight="1">
      <c r="I164" s="14"/>
    </row>
    <row r="165" ht="15.75" customHeight="1">
      <c r="I165" s="14"/>
    </row>
    <row r="166" ht="15.75" customHeight="1">
      <c r="I166" s="14"/>
    </row>
    <row r="167" ht="15.75" customHeight="1">
      <c r="I167" s="14"/>
    </row>
    <row r="168" ht="15.75" customHeight="1">
      <c r="I168" s="14"/>
    </row>
    <row r="169" ht="15.75" customHeight="1">
      <c r="I169" s="14"/>
    </row>
    <row r="170" ht="15.75" customHeight="1">
      <c r="I170" s="14"/>
    </row>
    <row r="171" ht="15.75" customHeight="1">
      <c r="I171" s="14"/>
    </row>
    <row r="172" ht="15.75" customHeight="1">
      <c r="I172" s="14"/>
    </row>
    <row r="173" ht="15.75" customHeight="1">
      <c r="I173" s="14"/>
    </row>
    <row r="174" ht="15.75" customHeight="1">
      <c r="I174" s="14"/>
    </row>
    <row r="175" ht="15.75" customHeight="1">
      <c r="I175" s="14"/>
    </row>
    <row r="176" ht="15.75" customHeight="1">
      <c r="I176" s="14"/>
    </row>
    <row r="177" ht="15.75" customHeight="1">
      <c r="I177" s="14"/>
    </row>
    <row r="178" ht="15.75" customHeight="1">
      <c r="I178" s="14"/>
    </row>
    <row r="179" ht="15.75" customHeight="1">
      <c r="I179" s="14"/>
    </row>
    <row r="180" ht="15.75" customHeight="1">
      <c r="I180" s="14"/>
    </row>
    <row r="181" ht="15.75" customHeight="1">
      <c r="I181" s="14"/>
    </row>
    <row r="182" ht="15.75" customHeight="1">
      <c r="I182" s="14"/>
    </row>
    <row r="183" ht="15.75" customHeight="1">
      <c r="I183" s="14"/>
    </row>
    <row r="184" ht="15.75" customHeight="1">
      <c r="I184" s="14"/>
    </row>
    <row r="185" ht="15.75" customHeight="1">
      <c r="I185" s="14"/>
    </row>
    <row r="186" ht="15.75" customHeight="1">
      <c r="I186" s="14"/>
    </row>
    <row r="187" ht="15.75" customHeight="1">
      <c r="I187" s="14"/>
    </row>
    <row r="188" ht="15.75" customHeight="1">
      <c r="I188" s="14"/>
    </row>
    <row r="189" ht="15.75" customHeight="1">
      <c r="I189" s="14"/>
    </row>
    <row r="190" ht="15.75" customHeight="1">
      <c r="I190" s="14"/>
    </row>
    <row r="191" ht="15.75" customHeight="1">
      <c r="I191" s="14"/>
    </row>
    <row r="192" ht="15.75" customHeight="1">
      <c r="I192" s="14"/>
    </row>
    <row r="193" ht="15.75" customHeight="1">
      <c r="I193" s="14"/>
    </row>
    <row r="194" ht="15.75" customHeight="1">
      <c r="I194" s="14"/>
    </row>
    <row r="195" ht="15.75" customHeight="1">
      <c r="I195" s="14"/>
    </row>
    <row r="196" ht="15.75" customHeight="1">
      <c r="I196" s="14"/>
    </row>
    <row r="197" ht="15.75" customHeight="1">
      <c r="I197" s="14"/>
    </row>
    <row r="198" ht="15.75" customHeight="1">
      <c r="I198" s="14"/>
    </row>
    <row r="199" ht="15.75" customHeight="1">
      <c r="I199" s="14"/>
    </row>
    <row r="200" ht="15.75" customHeight="1">
      <c r="I200" s="14"/>
    </row>
    <row r="201" ht="15.75" customHeight="1">
      <c r="I201" s="14"/>
    </row>
    <row r="202" ht="15.75" customHeight="1">
      <c r="I202" s="14"/>
    </row>
    <row r="203" ht="15.75" customHeight="1">
      <c r="I203" s="14"/>
    </row>
    <row r="204" ht="15.75" customHeight="1">
      <c r="I204" s="14"/>
    </row>
    <row r="205" ht="15.75" customHeight="1">
      <c r="I205" s="14"/>
    </row>
    <row r="206" ht="15.75" customHeight="1">
      <c r="I206" s="14"/>
    </row>
    <row r="207" ht="15.75" customHeight="1">
      <c r="I207" s="14"/>
    </row>
    <row r="208" ht="15.75" customHeight="1">
      <c r="I208" s="14"/>
    </row>
    <row r="209" ht="15.75" customHeight="1">
      <c r="I209" s="14"/>
    </row>
    <row r="210" ht="15.75" customHeight="1">
      <c r="I210" s="14"/>
    </row>
    <row r="211" ht="15.75" customHeight="1">
      <c r="I211" s="14"/>
    </row>
    <row r="212" ht="15.75" customHeight="1">
      <c r="I212" s="14"/>
    </row>
    <row r="213" ht="15.75" customHeight="1">
      <c r="I213" s="14"/>
    </row>
    <row r="214" ht="15.75" customHeight="1">
      <c r="I214" s="14"/>
    </row>
    <row r="215" ht="15.75" customHeight="1">
      <c r="I215" s="14"/>
    </row>
    <row r="216" ht="15.75" customHeight="1">
      <c r="I216" s="14"/>
    </row>
    <row r="217" ht="15.75" customHeight="1">
      <c r="I217" s="14"/>
    </row>
    <row r="218" ht="15.75" customHeight="1">
      <c r="I218" s="14"/>
    </row>
    <row r="219" ht="15.75" customHeight="1">
      <c r="I219" s="14"/>
    </row>
    <row r="220" ht="15.75" customHeight="1">
      <c r="I220" s="14"/>
    </row>
    <row r="221" ht="15.75" customHeight="1">
      <c r="I221" s="14"/>
    </row>
    <row r="222" ht="15.75" customHeight="1">
      <c r="I222" s="14"/>
    </row>
    <row r="223" ht="15.75" customHeight="1">
      <c r="I223" s="14"/>
    </row>
    <row r="224" ht="15.75" customHeight="1">
      <c r="I224" s="14"/>
    </row>
    <row r="225" ht="15.75" customHeight="1">
      <c r="I225" s="14"/>
    </row>
    <row r="226" ht="15.75" customHeight="1">
      <c r="I226" s="14"/>
    </row>
    <row r="227" ht="15.75" customHeight="1">
      <c r="I227" s="14"/>
    </row>
    <row r="228" ht="15.75" customHeight="1">
      <c r="I228" s="14"/>
    </row>
    <row r="229" ht="15.75" customHeight="1">
      <c r="I229" s="14"/>
    </row>
    <row r="230" ht="15.75" customHeight="1">
      <c r="I230" s="14"/>
    </row>
    <row r="231" ht="15.75" customHeight="1">
      <c r="I231" s="14"/>
    </row>
    <row r="232" ht="15.75" customHeight="1">
      <c r="I232" s="14"/>
    </row>
    <row r="233" ht="15.75" customHeight="1">
      <c r="I233" s="14"/>
    </row>
    <row r="234" ht="15.75" customHeight="1">
      <c r="I234" s="14"/>
    </row>
    <row r="235" ht="15.75" customHeight="1">
      <c r="I235" s="14"/>
    </row>
    <row r="236" ht="15.75" customHeight="1">
      <c r="I236" s="14"/>
    </row>
    <row r="237" ht="15.75" customHeight="1">
      <c r="I237" s="14"/>
    </row>
    <row r="238" ht="15.75" customHeight="1">
      <c r="I238" s="14"/>
    </row>
    <row r="239" ht="15.75" customHeight="1">
      <c r="I239" s="14"/>
    </row>
    <row r="240" ht="15.75" customHeight="1">
      <c r="I240" s="14"/>
    </row>
    <row r="241" ht="15.75" customHeight="1">
      <c r="I241" s="14"/>
    </row>
    <row r="242" ht="15.75" customHeight="1">
      <c r="I242" s="14"/>
    </row>
    <row r="243" ht="15.75" customHeight="1">
      <c r="I243" s="14"/>
    </row>
    <row r="244" ht="15.75" customHeight="1">
      <c r="I244" s="14"/>
    </row>
    <row r="245" ht="15.75" customHeight="1">
      <c r="I245" s="14"/>
    </row>
    <row r="246" ht="15.75" customHeight="1">
      <c r="I246" s="14"/>
    </row>
    <row r="247" ht="15.75" customHeight="1">
      <c r="I247" s="14"/>
    </row>
    <row r="248" ht="15.75" customHeight="1">
      <c r="I248" s="14"/>
    </row>
    <row r="249" ht="15.75" customHeight="1">
      <c r="I249" s="14"/>
    </row>
    <row r="250" ht="15.75" customHeight="1">
      <c r="I250" s="14"/>
    </row>
    <row r="251" ht="15.75" customHeight="1">
      <c r="I251" s="14"/>
    </row>
    <row r="252" ht="15.75" customHeight="1">
      <c r="I252" s="14"/>
    </row>
    <row r="253" ht="15.75" customHeight="1">
      <c r="I253" s="14"/>
    </row>
    <row r="254" ht="15.75" customHeight="1">
      <c r="I254" s="14"/>
    </row>
    <row r="255" ht="15.75" customHeight="1">
      <c r="I255" s="14"/>
    </row>
    <row r="256" ht="15.75" customHeight="1">
      <c r="I256" s="14"/>
    </row>
    <row r="257" ht="15.75" customHeight="1">
      <c r="I257" s="14"/>
    </row>
    <row r="258" ht="15.75" customHeight="1">
      <c r="I258" s="14"/>
    </row>
    <row r="259" ht="15.75" customHeight="1">
      <c r="I259" s="14"/>
    </row>
    <row r="260" ht="15.75" customHeight="1">
      <c r="I260" s="14"/>
    </row>
    <row r="261" ht="15.75" customHeight="1">
      <c r="I261" s="14"/>
    </row>
    <row r="262" ht="15.75" customHeight="1">
      <c r="I262" s="14"/>
    </row>
    <row r="263" ht="15.75" customHeight="1">
      <c r="I263" s="14"/>
    </row>
    <row r="264" ht="15.75" customHeight="1">
      <c r="I264" s="14"/>
    </row>
    <row r="265" ht="15.75" customHeight="1">
      <c r="I265" s="14"/>
    </row>
    <row r="266" ht="15.75" customHeight="1">
      <c r="I266" s="14"/>
    </row>
    <row r="267" ht="15.75" customHeight="1">
      <c r="I267" s="14"/>
    </row>
    <row r="268" ht="15.75" customHeight="1">
      <c r="I268" s="14"/>
    </row>
    <row r="269" ht="15.75" customHeight="1">
      <c r="I269" s="14"/>
    </row>
    <row r="270" ht="15.75" customHeight="1">
      <c r="I270" s="14"/>
    </row>
    <row r="271" ht="15.75" customHeight="1">
      <c r="I271" s="14"/>
    </row>
    <row r="272" ht="15.75" customHeight="1">
      <c r="I272" s="14"/>
    </row>
    <row r="273" ht="15.75" customHeight="1">
      <c r="I273" s="14"/>
    </row>
    <row r="274" ht="15.75" customHeight="1">
      <c r="I274" s="14"/>
    </row>
    <row r="275" ht="15.75" customHeight="1">
      <c r="I275" s="14"/>
    </row>
    <row r="276" ht="15.75" customHeight="1">
      <c r="I276" s="14"/>
    </row>
    <row r="277" ht="15.75" customHeight="1">
      <c r="I277" s="14"/>
    </row>
    <row r="278" ht="15.75" customHeight="1">
      <c r="I278" s="14"/>
    </row>
    <row r="279" ht="15.75" customHeight="1">
      <c r="I279" s="14"/>
    </row>
    <row r="280" ht="15.75" customHeight="1">
      <c r="I280" s="14"/>
    </row>
    <row r="281" ht="15.75" customHeight="1">
      <c r="I281" s="14"/>
    </row>
    <row r="282" ht="15.75" customHeight="1">
      <c r="I282" s="14"/>
    </row>
    <row r="283" ht="15.75" customHeight="1">
      <c r="I283" s="14"/>
    </row>
    <row r="284" ht="15.75" customHeight="1">
      <c r="I284" s="14"/>
    </row>
    <row r="285" ht="15.75" customHeight="1">
      <c r="I285" s="14"/>
    </row>
    <row r="286" ht="15.75" customHeight="1">
      <c r="I286" s="14"/>
    </row>
    <row r="287" ht="15.75" customHeight="1">
      <c r="I287" s="14"/>
    </row>
    <row r="288" ht="15.75" customHeight="1">
      <c r="I288" s="14"/>
    </row>
    <row r="289" ht="15.75" customHeight="1">
      <c r="I289" s="14"/>
    </row>
    <row r="290" ht="15.75" customHeight="1">
      <c r="I290" s="14"/>
    </row>
    <row r="291" ht="15.75" customHeight="1">
      <c r="I291" s="14"/>
    </row>
    <row r="292" ht="15.75" customHeight="1">
      <c r="I292" s="14"/>
    </row>
    <row r="293" ht="15.75" customHeight="1">
      <c r="I293" s="14"/>
    </row>
    <row r="294" ht="15.75" customHeight="1">
      <c r="I294" s="14"/>
    </row>
    <row r="295" ht="15.75" customHeight="1">
      <c r="I295" s="14"/>
    </row>
    <row r="296" ht="15.75" customHeight="1">
      <c r="I296" s="14"/>
    </row>
    <row r="297" ht="15.75" customHeight="1">
      <c r="I297" s="14"/>
    </row>
    <row r="298" ht="15.75" customHeight="1">
      <c r="I298" s="14"/>
    </row>
    <row r="299" ht="15.75" customHeight="1">
      <c r="I299" s="14"/>
    </row>
    <row r="300" ht="15.75" customHeight="1">
      <c r="I300" s="14"/>
    </row>
    <row r="301" ht="15.75" customHeight="1">
      <c r="I301" s="14"/>
    </row>
    <row r="302" ht="15.75" customHeight="1">
      <c r="I302" s="14"/>
    </row>
    <row r="303" ht="15.75" customHeight="1">
      <c r="I303" s="14"/>
    </row>
    <row r="304" ht="15.75" customHeight="1">
      <c r="I304" s="14"/>
    </row>
    <row r="305" ht="15.75" customHeight="1">
      <c r="I305" s="14"/>
    </row>
    <row r="306" ht="15.75" customHeight="1">
      <c r="I306" s="14"/>
    </row>
    <row r="307" ht="15.75" customHeight="1">
      <c r="I307" s="14"/>
    </row>
    <row r="308" ht="15.75" customHeight="1">
      <c r="I308" s="14"/>
    </row>
    <row r="309" ht="15.75" customHeight="1">
      <c r="I309" s="14"/>
    </row>
    <row r="310" ht="15.75" customHeight="1">
      <c r="I310" s="14"/>
    </row>
    <row r="311" ht="15.75" customHeight="1">
      <c r="I311" s="14"/>
    </row>
    <row r="312" ht="15.75" customHeight="1">
      <c r="I312" s="14"/>
    </row>
    <row r="313" ht="15.75" customHeight="1">
      <c r="I313" s="14"/>
    </row>
    <row r="314" ht="15.75" customHeight="1">
      <c r="I314" s="14"/>
    </row>
    <row r="315" ht="15.75" customHeight="1">
      <c r="I315" s="14"/>
    </row>
    <row r="316" ht="15.75" customHeight="1">
      <c r="I316" s="14"/>
    </row>
    <row r="317" ht="15.75" customHeight="1">
      <c r="I317" s="14"/>
    </row>
    <row r="318" ht="15.75" customHeight="1">
      <c r="I318" s="14"/>
    </row>
    <row r="319" ht="15.75" customHeight="1">
      <c r="I319" s="14"/>
    </row>
    <row r="320" ht="15.75" customHeight="1">
      <c r="I320" s="14"/>
    </row>
    <row r="321" ht="15.75" customHeight="1">
      <c r="I321" s="14"/>
    </row>
    <row r="322" ht="15.75" customHeight="1">
      <c r="I322" s="14"/>
    </row>
    <row r="323" ht="15.75" customHeight="1">
      <c r="I323" s="14"/>
    </row>
    <row r="324" ht="15.75" customHeight="1">
      <c r="I324" s="14"/>
    </row>
    <row r="325" ht="15.75" customHeight="1">
      <c r="I325" s="14"/>
    </row>
    <row r="326" ht="15.75" customHeight="1">
      <c r="I326" s="14"/>
    </row>
    <row r="327" ht="15.75" customHeight="1">
      <c r="I327" s="14"/>
    </row>
    <row r="328" ht="15.75" customHeight="1">
      <c r="I328" s="14"/>
    </row>
    <row r="329" ht="15.75" customHeight="1">
      <c r="I329" s="14"/>
    </row>
    <row r="330" ht="15.75" customHeight="1">
      <c r="I330" s="14"/>
    </row>
    <row r="331" ht="15.75" customHeight="1">
      <c r="I331" s="14"/>
    </row>
    <row r="332" ht="15.75" customHeight="1">
      <c r="I332" s="14"/>
    </row>
    <row r="333" ht="15.75" customHeight="1">
      <c r="I333" s="14"/>
    </row>
    <row r="334" ht="15.75" customHeight="1">
      <c r="I334" s="14"/>
    </row>
    <row r="335" ht="15.75" customHeight="1">
      <c r="I335" s="14"/>
    </row>
    <row r="336" ht="15.75" customHeight="1">
      <c r="I336" s="14"/>
    </row>
    <row r="337" ht="15.75" customHeight="1">
      <c r="I337" s="14"/>
    </row>
    <row r="338" ht="15.75" customHeight="1">
      <c r="I338" s="14"/>
    </row>
    <row r="339" ht="15.75" customHeight="1">
      <c r="I339" s="14"/>
    </row>
    <row r="340" ht="15.75" customHeight="1">
      <c r="I340" s="14"/>
    </row>
    <row r="341" ht="15.75" customHeight="1">
      <c r="I341" s="14"/>
    </row>
    <row r="342" ht="15.75" customHeight="1">
      <c r="I342" s="14"/>
    </row>
    <row r="343" ht="15.75" customHeight="1">
      <c r="I343" s="14"/>
    </row>
    <row r="344" ht="15.75" customHeight="1">
      <c r="I344" s="14"/>
    </row>
    <row r="345" ht="15.75" customHeight="1">
      <c r="I345" s="14"/>
    </row>
    <row r="346" ht="15.75" customHeight="1">
      <c r="I346" s="14"/>
    </row>
    <row r="347" ht="15.75" customHeight="1">
      <c r="I347" s="14"/>
    </row>
    <row r="348" ht="15.75" customHeight="1">
      <c r="I348" s="14"/>
    </row>
    <row r="349" ht="15.75" customHeight="1">
      <c r="I349" s="14"/>
    </row>
    <row r="350" ht="15.75" customHeight="1">
      <c r="I350" s="14"/>
    </row>
    <row r="351" ht="15.75" customHeight="1">
      <c r="I351" s="14"/>
    </row>
    <row r="352" ht="15.75" customHeight="1">
      <c r="I352" s="14"/>
    </row>
    <row r="353" ht="15.75" customHeight="1">
      <c r="I353" s="14"/>
    </row>
    <row r="354" ht="15.75" customHeight="1">
      <c r="I354" s="14"/>
    </row>
    <row r="355" ht="15.75" customHeight="1">
      <c r="I355" s="14"/>
    </row>
    <row r="356" ht="15.75" customHeight="1">
      <c r="I356" s="14"/>
    </row>
    <row r="357" ht="15.75" customHeight="1">
      <c r="I357" s="14"/>
    </row>
    <row r="358" ht="15.75" customHeight="1">
      <c r="I358" s="14"/>
    </row>
    <row r="359" ht="15.75" customHeight="1">
      <c r="I359" s="14"/>
    </row>
    <row r="360" ht="15.75" customHeight="1">
      <c r="I360" s="14"/>
    </row>
    <row r="361" ht="15.75" customHeight="1">
      <c r="I361" s="14"/>
    </row>
    <row r="362" ht="15.75" customHeight="1">
      <c r="I362" s="14"/>
    </row>
    <row r="363" ht="15.75" customHeight="1">
      <c r="I363" s="14"/>
    </row>
    <row r="364" ht="15.75" customHeight="1">
      <c r="I364" s="14"/>
    </row>
    <row r="365" ht="15.75" customHeight="1">
      <c r="I365" s="14"/>
    </row>
    <row r="366" ht="15.75" customHeight="1">
      <c r="I366" s="14"/>
    </row>
    <row r="367" ht="15.75" customHeight="1">
      <c r="I367" s="14"/>
    </row>
    <row r="368" ht="15.75" customHeight="1">
      <c r="I368" s="14"/>
    </row>
    <row r="369" ht="15.75" customHeight="1">
      <c r="I369" s="14"/>
    </row>
    <row r="370" ht="15.75" customHeight="1">
      <c r="I370" s="14"/>
    </row>
    <row r="371" ht="15.75" customHeight="1">
      <c r="I371" s="14"/>
    </row>
    <row r="372" ht="15.75" customHeight="1">
      <c r="I372" s="14"/>
    </row>
    <row r="373" ht="15.75" customHeight="1">
      <c r="I373" s="14"/>
    </row>
    <row r="374" ht="15.75" customHeight="1">
      <c r="I374" s="14"/>
    </row>
    <row r="375" ht="15.75" customHeight="1">
      <c r="I375" s="14"/>
    </row>
    <row r="376" ht="15.75" customHeight="1">
      <c r="I376" s="14"/>
    </row>
    <row r="377" ht="15.75" customHeight="1">
      <c r="I377" s="14"/>
    </row>
    <row r="378" ht="15.75" customHeight="1">
      <c r="I378" s="14"/>
    </row>
    <row r="379" ht="15.75" customHeight="1">
      <c r="I379" s="14"/>
    </row>
    <row r="380" ht="15.75" customHeight="1">
      <c r="I380" s="14"/>
    </row>
    <row r="381" ht="15.75" customHeight="1">
      <c r="I381" s="14"/>
    </row>
    <row r="382" ht="15.75" customHeight="1">
      <c r="I382" s="14"/>
    </row>
    <row r="383" ht="15.75" customHeight="1">
      <c r="I383" s="14"/>
    </row>
    <row r="384" ht="15.75" customHeight="1">
      <c r="I384" s="14"/>
    </row>
    <row r="385" ht="15.75" customHeight="1">
      <c r="I385" s="14"/>
    </row>
    <row r="386" ht="15.75" customHeight="1">
      <c r="I386" s="14"/>
    </row>
    <row r="387" ht="15.75" customHeight="1">
      <c r="I387" s="14"/>
    </row>
    <row r="388" ht="15.75" customHeight="1">
      <c r="I388" s="14"/>
    </row>
    <row r="389" ht="15.75" customHeight="1">
      <c r="I389" s="14"/>
    </row>
    <row r="390" ht="15.75" customHeight="1">
      <c r="I390" s="14"/>
    </row>
    <row r="391" ht="15.75" customHeight="1">
      <c r="I391" s="14"/>
    </row>
    <row r="392" ht="15.75" customHeight="1">
      <c r="I392" s="14"/>
    </row>
    <row r="393" ht="15.75" customHeight="1">
      <c r="I393" s="14"/>
    </row>
    <row r="394" ht="15.75" customHeight="1">
      <c r="I394" s="14"/>
    </row>
    <row r="395" ht="15.75" customHeight="1">
      <c r="I395" s="14"/>
    </row>
    <row r="396" ht="15.75" customHeight="1">
      <c r="I396" s="14"/>
    </row>
    <row r="397" ht="15.75" customHeight="1">
      <c r="I397" s="14"/>
    </row>
    <row r="398" ht="15.75" customHeight="1">
      <c r="I398" s="14"/>
    </row>
    <row r="399" ht="15.75" customHeight="1">
      <c r="I399" s="14"/>
    </row>
    <row r="400" ht="15.75" customHeight="1">
      <c r="I400" s="14"/>
    </row>
    <row r="401" ht="15.75" customHeight="1">
      <c r="I401" s="14"/>
    </row>
    <row r="402" ht="15.75" customHeight="1">
      <c r="I402" s="14"/>
    </row>
    <row r="403" ht="15.75" customHeight="1">
      <c r="I403" s="14"/>
    </row>
    <row r="404" ht="15.75" customHeight="1">
      <c r="I404" s="14"/>
    </row>
    <row r="405" ht="15.75" customHeight="1">
      <c r="I405" s="14"/>
    </row>
    <row r="406" ht="15.75" customHeight="1">
      <c r="I406" s="14"/>
    </row>
    <row r="407" ht="15.75" customHeight="1">
      <c r="I407" s="14"/>
    </row>
    <row r="408" ht="15.75" customHeight="1">
      <c r="I408" s="14"/>
    </row>
    <row r="409" ht="15.75" customHeight="1">
      <c r="I409" s="14"/>
    </row>
    <row r="410" ht="15.75" customHeight="1">
      <c r="I410" s="14"/>
    </row>
    <row r="411" ht="15.75" customHeight="1">
      <c r="I411" s="14"/>
    </row>
    <row r="412" ht="15.75" customHeight="1">
      <c r="I412" s="14"/>
    </row>
    <row r="413" ht="15.75" customHeight="1">
      <c r="I413" s="14"/>
    </row>
    <row r="414" ht="15.75" customHeight="1">
      <c r="I414" s="14"/>
    </row>
    <row r="415" ht="15.75" customHeight="1">
      <c r="I415" s="14"/>
    </row>
    <row r="416" ht="15.75" customHeight="1">
      <c r="I416" s="14"/>
    </row>
    <row r="417" ht="15.75" customHeight="1">
      <c r="I417" s="14"/>
    </row>
    <row r="418" ht="15.75" customHeight="1">
      <c r="I418" s="14"/>
    </row>
    <row r="419" ht="15.75" customHeight="1">
      <c r="I419" s="14"/>
    </row>
    <row r="420" ht="15.75" customHeight="1">
      <c r="I420" s="14"/>
    </row>
    <row r="421" ht="15.75" customHeight="1">
      <c r="I421" s="14"/>
    </row>
    <row r="422" ht="15.75" customHeight="1">
      <c r="I422" s="14"/>
    </row>
    <row r="423" ht="15.75" customHeight="1">
      <c r="I423" s="14"/>
    </row>
    <row r="424" ht="15.75" customHeight="1">
      <c r="I424" s="14"/>
    </row>
    <row r="425" ht="15.75" customHeight="1">
      <c r="I425" s="14"/>
    </row>
    <row r="426" ht="15.75" customHeight="1">
      <c r="I426" s="14"/>
    </row>
    <row r="427" ht="15.75" customHeight="1">
      <c r="I427" s="14"/>
    </row>
    <row r="428" ht="15.75" customHeight="1">
      <c r="I428" s="14"/>
    </row>
    <row r="429" ht="15.75" customHeight="1">
      <c r="I429" s="14"/>
    </row>
    <row r="430" ht="15.75" customHeight="1">
      <c r="I430" s="14"/>
    </row>
    <row r="431" ht="15.75" customHeight="1">
      <c r="I431" s="14"/>
    </row>
    <row r="432" ht="15.75" customHeight="1">
      <c r="I432" s="14"/>
    </row>
    <row r="433" ht="15.75" customHeight="1">
      <c r="I433" s="14"/>
    </row>
    <row r="434" ht="15.75" customHeight="1">
      <c r="I434" s="14"/>
    </row>
    <row r="435" ht="15.75" customHeight="1">
      <c r="I435" s="14"/>
    </row>
    <row r="436" ht="15.75" customHeight="1">
      <c r="I436" s="14"/>
    </row>
    <row r="437" ht="15.75" customHeight="1">
      <c r="I437" s="14"/>
    </row>
    <row r="438" ht="15.75" customHeight="1">
      <c r="I438" s="14"/>
    </row>
    <row r="439" ht="15.75" customHeight="1">
      <c r="I439" s="14"/>
    </row>
    <row r="440" ht="15.75" customHeight="1">
      <c r="I440" s="14"/>
    </row>
    <row r="441" ht="15.75" customHeight="1">
      <c r="I441" s="14"/>
    </row>
    <row r="442" ht="15.75" customHeight="1">
      <c r="I442" s="14"/>
    </row>
    <row r="443" ht="15.75" customHeight="1">
      <c r="I443" s="14"/>
    </row>
    <row r="444" ht="15.75" customHeight="1">
      <c r="I444" s="14"/>
    </row>
    <row r="445" ht="15.75" customHeight="1">
      <c r="I445" s="14"/>
    </row>
    <row r="446" ht="15.75" customHeight="1">
      <c r="I446" s="14"/>
    </row>
    <row r="447" ht="15.75" customHeight="1">
      <c r="I447" s="14"/>
    </row>
    <row r="448" ht="15.75" customHeight="1">
      <c r="I448" s="14"/>
    </row>
    <row r="449" ht="15.75" customHeight="1">
      <c r="I449" s="14"/>
    </row>
    <row r="450" ht="15.75" customHeight="1">
      <c r="I450" s="14"/>
    </row>
    <row r="451" ht="15.75" customHeight="1">
      <c r="I451" s="14"/>
    </row>
    <row r="452" ht="15.75" customHeight="1">
      <c r="I452" s="14"/>
    </row>
    <row r="453" ht="15.75" customHeight="1">
      <c r="I453" s="14"/>
    </row>
    <row r="454" ht="15.75" customHeight="1">
      <c r="I454" s="14"/>
    </row>
    <row r="455" ht="15.75" customHeight="1">
      <c r="I455" s="14"/>
    </row>
    <row r="456" ht="15.75" customHeight="1">
      <c r="I456" s="14"/>
    </row>
    <row r="457" ht="15.75" customHeight="1">
      <c r="I457" s="14"/>
    </row>
    <row r="458" ht="15.75" customHeight="1">
      <c r="I458" s="14"/>
    </row>
    <row r="459" ht="15.75" customHeight="1">
      <c r="I459" s="14"/>
    </row>
    <row r="460" ht="15.75" customHeight="1">
      <c r="I460" s="14"/>
    </row>
    <row r="461" ht="15.75" customHeight="1">
      <c r="I461" s="14"/>
    </row>
    <row r="462" ht="15.75" customHeight="1">
      <c r="I462" s="14"/>
    </row>
    <row r="463" ht="15.75" customHeight="1">
      <c r="I463" s="14"/>
    </row>
    <row r="464" ht="15.75" customHeight="1">
      <c r="I464" s="14"/>
    </row>
    <row r="465" ht="15.75" customHeight="1">
      <c r="I465" s="14"/>
    </row>
    <row r="466" ht="15.75" customHeight="1">
      <c r="I466" s="14"/>
    </row>
    <row r="467" ht="15.75" customHeight="1">
      <c r="I467" s="14"/>
    </row>
    <row r="468" ht="15.75" customHeight="1">
      <c r="I468" s="14"/>
    </row>
    <row r="469" ht="15.75" customHeight="1">
      <c r="I469" s="14"/>
    </row>
    <row r="470" ht="15.75" customHeight="1">
      <c r="I470" s="14"/>
    </row>
    <row r="471" ht="15.75" customHeight="1">
      <c r="I471" s="14"/>
    </row>
    <row r="472" ht="15.75" customHeight="1">
      <c r="I472" s="14"/>
    </row>
    <row r="473" ht="15.75" customHeight="1">
      <c r="I473" s="14"/>
    </row>
    <row r="474" ht="15.75" customHeight="1">
      <c r="I474" s="14"/>
    </row>
    <row r="475" ht="15.75" customHeight="1">
      <c r="I475" s="14"/>
    </row>
    <row r="476" ht="15.75" customHeight="1">
      <c r="I476" s="14"/>
    </row>
    <row r="477" ht="15.75" customHeight="1">
      <c r="I477" s="14"/>
    </row>
    <row r="478" ht="15.75" customHeight="1">
      <c r="I478" s="14"/>
    </row>
    <row r="479" ht="15.75" customHeight="1">
      <c r="I479" s="14"/>
    </row>
    <row r="480" ht="15.75" customHeight="1">
      <c r="I480" s="14"/>
    </row>
    <row r="481" ht="15.75" customHeight="1">
      <c r="I481" s="14"/>
    </row>
    <row r="482" ht="15.75" customHeight="1">
      <c r="I482" s="14"/>
    </row>
    <row r="483" ht="15.75" customHeight="1">
      <c r="I483" s="14"/>
    </row>
    <row r="484" ht="15.75" customHeight="1">
      <c r="I484" s="14"/>
    </row>
    <row r="485" ht="15.75" customHeight="1">
      <c r="I485" s="14"/>
    </row>
    <row r="486" ht="15.75" customHeight="1">
      <c r="I486" s="14"/>
    </row>
    <row r="487" ht="15.75" customHeight="1">
      <c r="I487" s="14"/>
    </row>
    <row r="488" ht="15.75" customHeight="1">
      <c r="I488" s="14"/>
    </row>
    <row r="489" ht="15.75" customHeight="1">
      <c r="I489" s="14"/>
    </row>
    <row r="490" ht="15.75" customHeight="1">
      <c r="I490" s="14"/>
    </row>
    <row r="491" ht="15.75" customHeight="1">
      <c r="I491" s="14"/>
    </row>
    <row r="492" ht="15.75" customHeight="1">
      <c r="I492" s="14"/>
    </row>
    <row r="493" ht="15.75" customHeight="1">
      <c r="I493" s="14"/>
    </row>
    <row r="494" ht="15.75" customHeight="1">
      <c r="I494" s="14"/>
    </row>
    <row r="495" ht="15.75" customHeight="1">
      <c r="I495" s="14"/>
    </row>
    <row r="496" ht="15.75" customHeight="1">
      <c r="I496" s="14"/>
    </row>
    <row r="497" ht="15.75" customHeight="1">
      <c r="I497" s="14"/>
    </row>
    <row r="498" ht="15.75" customHeight="1">
      <c r="I498" s="14"/>
    </row>
    <row r="499" ht="15.75" customHeight="1">
      <c r="I499" s="14"/>
    </row>
    <row r="500" ht="15.75" customHeight="1">
      <c r="I500" s="14"/>
    </row>
    <row r="501" ht="15.75" customHeight="1">
      <c r="I501" s="14"/>
    </row>
    <row r="502" ht="15.75" customHeight="1">
      <c r="I502" s="14"/>
    </row>
    <row r="503" ht="15.75" customHeight="1">
      <c r="I503" s="14"/>
    </row>
    <row r="504" ht="15.75" customHeight="1">
      <c r="I504" s="14"/>
    </row>
    <row r="505" ht="15.75" customHeight="1">
      <c r="I505" s="14"/>
    </row>
    <row r="506" ht="15.75" customHeight="1">
      <c r="I506" s="14"/>
    </row>
    <row r="507" ht="15.75" customHeight="1">
      <c r="I507" s="14"/>
    </row>
    <row r="508" ht="15.75" customHeight="1">
      <c r="I508" s="14"/>
    </row>
    <row r="509" ht="15.75" customHeight="1">
      <c r="I509" s="14"/>
    </row>
    <row r="510" ht="15.75" customHeight="1">
      <c r="I510" s="14"/>
    </row>
    <row r="511" ht="15.75" customHeight="1">
      <c r="I511" s="14"/>
    </row>
    <row r="512" ht="15.75" customHeight="1">
      <c r="I512" s="14"/>
    </row>
    <row r="513" ht="15.75" customHeight="1">
      <c r="I513" s="14"/>
    </row>
    <row r="514" ht="15.75" customHeight="1">
      <c r="I514" s="14"/>
    </row>
    <row r="515" ht="15.75" customHeight="1">
      <c r="I515" s="14"/>
    </row>
    <row r="516" ht="15.75" customHeight="1">
      <c r="I516" s="14"/>
    </row>
    <row r="517" ht="15.75" customHeight="1">
      <c r="I517" s="14"/>
    </row>
    <row r="518" ht="15.75" customHeight="1">
      <c r="I518" s="14"/>
    </row>
    <row r="519" ht="15.75" customHeight="1">
      <c r="I519" s="14"/>
    </row>
    <row r="520" ht="15.75" customHeight="1">
      <c r="I520" s="14"/>
    </row>
    <row r="521" ht="15.75" customHeight="1">
      <c r="I521" s="14"/>
    </row>
    <row r="522" ht="15.75" customHeight="1">
      <c r="I522" s="14"/>
    </row>
    <row r="523" ht="15.75" customHeight="1">
      <c r="I523" s="14"/>
    </row>
    <row r="524" ht="15.75" customHeight="1">
      <c r="I524" s="14"/>
    </row>
    <row r="525" ht="15.75" customHeight="1">
      <c r="I525" s="14"/>
    </row>
    <row r="526" ht="15.75" customHeight="1">
      <c r="I526" s="14"/>
    </row>
    <row r="527" ht="15.75" customHeight="1">
      <c r="I527" s="14"/>
    </row>
    <row r="528" ht="15.75" customHeight="1">
      <c r="I528" s="14"/>
    </row>
    <row r="529" ht="15.75" customHeight="1">
      <c r="I529" s="14"/>
    </row>
    <row r="530" ht="15.75" customHeight="1">
      <c r="I530" s="14"/>
    </row>
    <row r="531" ht="15.75" customHeight="1">
      <c r="I531" s="14"/>
    </row>
    <row r="532" ht="15.75" customHeight="1">
      <c r="I532" s="14"/>
    </row>
    <row r="533" ht="15.75" customHeight="1">
      <c r="I533" s="14"/>
    </row>
    <row r="534" ht="15.75" customHeight="1">
      <c r="I534" s="14"/>
    </row>
    <row r="535" ht="15.75" customHeight="1">
      <c r="I535" s="14"/>
    </row>
    <row r="536" ht="15.75" customHeight="1">
      <c r="I536" s="14"/>
    </row>
    <row r="537" ht="15.75" customHeight="1">
      <c r="I537" s="14"/>
    </row>
    <row r="538" ht="15.75" customHeight="1">
      <c r="I538" s="14"/>
    </row>
    <row r="539" ht="15.75" customHeight="1">
      <c r="I539" s="14"/>
    </row>
    <row r="540" ht="15.75" customHeight="1">
      <c r="I540" s="14"/>
    </row>
    <row r="541" ht="15.75" customHeight="1">
      <c r="I541" s="14"/>
    </row>
    <row r="542" ht="15.75" customHeight="1">
      <c r="I542" s="14"/>
    </row>
    <row r="543" ht="15.75" customHeight="1">
      <c r="I543" s="14"/>
    </row>
    <row r="544" ht="15.75" customHeight="1">
      <c r="I544" s="14"/>
    </row>
    <row r="545" ht="15.75" customHeight="1">
      <c r="I545" s="14"/>
    </row>
    <row r="546" ht="15.75" customHeight="1">
      <c r="I546" s="14"/>
    </row>
    <row r="547" ht="15.75" customHeight="1">
      <c r="I547" s="14"/>
    </row>
    <row r="548" ht="15.75" customHeight="1">
      <c r="I548" s="14"/>
    </row>
    <row r="549" ht="15.75" customHeight="1">
      <c r="I549" s="14"/>
    </row>
    <row r="550" ht="15.75" customHeight="1">
      <c r="I550" s="14"/>
    </row>
    <row r="551" ht="15.75" customHeight="1">
      <c r="I551" s="14"/>
    </row>
    <row r="552" ht="15.75" customHeight="1">
      <c r="I552" s="14"/>
    </row>
    <row r="553" ht="15.75" customHeight="1">
      <c r="I553" s="14"/>
    </row>
    <row r="554" ht="15.75" customHeight="1">
      <c r="I554" s="14"/>
    </row>
    <row r="555" ht="15.75" customHeight="1">
      <c r="I555" s="14"/>
    </row>
    <row r="556" ht="15.75" customHeight="1">
      <c r="I556" s="14"/>
    </row>
    <row r="557" ht="15.75" customHeight="1">
      <c r="I557" s="14"/>
    </row>
    <row r="558" ht="15.75" customHeight="1">
      <c r="I558" s="14"/>
    </row>
    <row r="559" ht="15.75" customHeight="1">
      <c r="I559" s="14"/>
    </row>
    <row r="560" ht="15.75" customHeight="1">
      <c r="I560" s="14"/>
    </row>
    <row r="561" ht="15.75" customHeight="1">
      <c r="I561" s="14"/>
    </row>
    <row r="562" ht="15.75" customHeight="1">
      <c r="I562" s="14"/>
    </row>
    <row r="563" ht="15.75" customHeight="1">
      <c r="I563" s="14"/>
    </row>
    <row r="564" ht="15.75" customHeight="1">
      <c r="I564" s="14"/>
    </row>
    <row r="565" ht="15.75" customHeight="1">
      <c r="I565" s="14"/>
    </row>
    <row r="566" ht="15.75" customHeight="1">
      <c r="I566" s="14"/>
    </row>
    <row r="567" ht="15.75" customHeight="1">
      <c r="I567" s="14"/>
    </row>
    <row r="568" ht="15.75" customHeight="1">
      <c r="I568" s="14"/>
    </row>
    <row r="569" ht="15.75" customHeight="1">
      <c r="I569" s="14"/>
    </row>
    <row r="570" ht="15.75" customHeight="1">
      <c r="I570" s="14"/>
    </row>
    <row r="571" ht="15.75" customHeight="1">
      <c r="I571" s="14"/>
    </row>
    <row r="572" ht="15.75" customHeight="1">
      <c r="I572" s="14"/>
    </row>
    <row r="573" ht="15.75" customHeight="1">
      <c r="I573" s="14"/>
    </row>
    <row r="574" ht="15.75" customHeight="1">
      <c r="I574" s="14"/>
    </row>
    <row r="575" ht="15.75" customHeight="1">
      <c r="I575" s="14"/>
    </row>
    <row r="576" ht="15.75" customHeight="1">
      <c r="I576" s="14"/>
    </row>
    <row r="577" ht="15.75" customHeight="1">
      <c r="I577" s="14"/>
    </row>
    <row r="578" ht="15.75" customHeight="1">
      <c r="I578" s="14"/>
    </row>
    <row r="579" ht="15.75" customHeight="1">
      <c r="I579" s="14"/>
    </row>
    <row r="580" ht="15.75" customHeight="1">
      <c r="I580" s="14"/>
    </row>
    <row r="581" ht="15.75" customHeight="1">
      <c r="I581" s="14"/>
    </row>
    <row r="582" ht="15.75" customHeight="1">
      <c r="I582" s="14"/>
    </row>
    <row r="583" ht="15.75" customHeight="1">
      <c r="I583" s="14"/>
    </row>
    <row r="584" ht="15.75" customHeight="1">
      <c r="I584" s="14"/>
    </row>
    <row r="585" ht="15.75" customHeight="1">
      <c r="I585" s="14"/>
    </row>
    <row r="586" ht="15.75" customHeight="1">
      <c r="I586" s="14"/>
    </row>
    <row r="587" ht="15.75" customHeight="1">
      <c r="I587" s="14"/>
    </row>
    <row r="588" ht="15.75" customHeight="1">
      <c r="I588" s="14"/>
    </row>
    <row r="589" ht="15.75" customHeight="1">
      <c r="I589" s="14"/>
    </row>
    <row r="590" ht="15.75" customHeight="1">
      <c r="I590" s="14"/>
    </row>
    <row r="591" ht="15.75" customHeight="1">
      <c r="I591" s="14"/>
    </row>
    <row r="592" ht="15.75" customHeight="1">
      <c r="I592" s="14"/>
    </row>
    <row r="593" ht="15.75" customHeight="1">
      <c r="I593" s="14"/>
    </row>
    <row r="594" ht="15.75" customHeight="1">
      <c r="I594" s="14"/>
    </row>
    <row r="595" ht="15.75" customHeight="1">
      <c r="I595" s="14"/>
    </row>
    <row r="596" ht="15.75" customHeight="1">
      <c r="I596" s="14"/>
    </row>
    <row r="597" ht="15.75" customHeight="1">
      <c r="I597" s="14"/>
    </row>
    <row r="598" ht="15.75" customHeight="1">
      <c r="I598" s="14"/>
    </row>
    <row r="599" ht="15.75" customHeight="1">
      <c r="I599" s="14"/>
    </row>
    <row r="600" ht="15.75" customHeight="1">
      <c r="I600" s="14"/>
    </row>
    <row r="601" ht="15.75" customHeight="1">
      <c r="I601" s="14"/>
    </row>
    <row r="602" ht="15.75" customHeight="1">
      <c r="I602" s="14"/>
    </row>
    <row r="603" ht="15.75" customHeight="1">
      <c r="I603" s="14"/>
    </row>
    <row r="604" ht="15.75" customHeight="1">
      <c r="I604" s="14"/>
    </row>
    <row r="605" ht="15.75" customHeight="1">
      <c r="I605" s="14"/>
    </row>
    <row r="606" ht="15.75" customHeight="1">
      <c r="I606" s="14"/>
    </row>
    <row r="607" ht="15.75" customHeight="1">
      <c r="I607" s="14"/>
    </row>
    <row r="608" ht="15.75" customHeight="1">
      <c r="I608" s="14"/>
    </row>
    <row r="609" ht="15.75" customHeight="1">
      <c r="I609" s="14"/>
    </row>
    <row r="610" ht="15.75" customHeight="1">
      <c r="I610" s="14"/>
    </row>
    <row r="611" ht="15.75" customHeight="1">
      <c r="I611" s="14"/>
    </row>
    <row r="612" ht="15.75" customHeight="1">
      <c r="I612" s="14"/>
    </row>
    <row r="613" ht="15.75" customHeight="1">
      <c r="I613" s="14"/>
    </row>
    <row r="614" ht="15.75" customHeight="1">
      <c r="I614" s="14"/>
    </row>
    <row r="615" ht="15.75" customHeight="1">
      <c r="I615" s="14"/>
    </row>
    <row r="616" ht="15.75" customHeight="1">
      <c r="I616" s="14"/>
    </row>
    <row r="617" ht="15.75" customHeight="1">
      <c r="I617" s="14"/>
    </row>
    <row r="618" ht="15.75" customHeight="1">
      <c r="I618" s="14"/>
    </row>
    <row r="619" ht="15.75" customHeight="1">
      <c r="I619" s="14"/>
    </row>
    <row r="620" ht="15.75" customHeight="1">
      <c r="I620" s="14"/>
    </row>
    <row r="621" ht="15.75" customHeight="1">
      <c r="I621" s="14"/>
    </row>
    <row r="622" ht="15.75" customHeight="1">
      <c r="I622" s="14"/>
    </row>
    <row r="623" ht="15.75" customHeight="1">
      <c r="I623" s="14"/>
    </row>
    <row r="624" ht="15.75" customHeight="1">
      <c r="I624" s="14"/>
    </row>
    <row r="625" ht="15.75" customHeight="1">
      <c r="I625" s="14"/>
    </row>
    <row r="626" ht="15.75" customHeight="1">
      <c r="I626" s="14"/>
    </row>
    <row r="627" ht="15.75" customHeight="1">
      <c r="I627" s="14"/>
    </row>
    <row r="628" ht="15.75" customHeight="1">
      <c r="I628" s="14"/>
    </row>
    <row r="629" ht="15.75" customHeight="1">
      <c r="I629" s="14"/>
    </row>
    <row r="630" ht="15.75" customHeight="1">
      <c r="I630" s="14"/>
    </row>
    <row r="631" ht="15.75" customHeight="1">
      <c r="I631" s="14"/>
    </row>
    <row r="632" ht="15.75" customHeight="1">
      <c r="I632" s="14"/>
    </row>
    <row r="633" ht="15.75" customHeight="1">
      <c r="I633" s="14"/>
    </row>
    <row r="634" ht="15.75" customHeight="1">
      <c r="I634" s="14"/>
    </row>
    <row r="635" ht="15.75" customHeight="1">
      <c r="I635" s="14"/>
    </row>
    <row r="636" ht="15.75" customHeight="1">
      <c r="I636" s="14"/>
    </row>
    <row r="637" ht="15.75" customHeight="1">
      <c r="I637" s="14"/>
    </row>
    <row r="638" ht="15.75" customHeight="1">
      <c r="I638" s="14"/>
    </row>
    <row r="639" ht="15.75" customHeight="1">
      <c r="I639" s="14"/>
    </row>
    <row r="640" ht="15.75" customHeight="1">
      <c r="I640" s="14"/>
    </row>
    <row r="641" ht="15.75" customHeight="1">
      <c r="I641" s="14"/>
    </row>
    <row r="642" ht="15.75" customHeight="1">
      <c r="I642" s="14"/>
    </row>
    <row r="643" ht="15.75" customHeight="1">
      <c r="I643" s="14"/>
    </row>
    <row r="644" ht="15.75" customHeight="1">
      <c r="I644" s="14"/>
    </row>
    <row r="645" ht="15.75" customHeight="1">
      <c r="I645" s="14"/>
    </row>
    <row r="646" ht="15.75" customHeight="1">
      <c r="I646" s="14"/>
    </row>
    <row r="647" ht="15.75" customHeight="1">
      <c r="I647" s="14"/>
    </row>
    <row r="648" ht="15.75" customHeight="1">
      <c r="I648" s="14"/>
    </row>
    <row r="649" ht="15.75" customHeight="1">
      <c r="I649" s="14"/>
    </row>
    <row r="650" ht="15.75" customHeight="1">
      <c r="I650" s="14"/>
    </row>
    <row r="651" ht="15.75" customHeight="1">
      <c r="I651" s="14"/>
    </row>
    <row r="652" ht="15.75" customHeight="1">
      <c r="I652" s="14"/>
    </row>
    <row r="653" ht="15.75" customHeight="1">
      <c r="I653" s="14"/>
    </row>
    <row r="654" ht="15.75" customHeight="1">
      <c r="I654" s="14"/>
    </row>
    <row r="655" ht="15.75" customHeight="1">
      <c r="I655" s="14"/>
    </row>
    <row r="656" ht="15.75" customHeight="1">
      <c r="I656" s="14"/>
    </row>
    <row r="657" ht="15.75" customHeight="1">
      <c r="I657" s="14"/>
    </row>
    <row r="658" ht="15.75" customHeight="1">
      <c r="I658" s="14"/>
    </row>
    <row r="659" ht="15.75" customHeight="1">
      <c r="I659" s="14"/>
    </row>
    <row r="660" ht="15.75" customHeight="1">
      <c r="I660" s="14"/>
    </row>
    <row r="661" ht="15.75" customHeight="1">
      <c r="I661" s="14"/>
    </row>
    <row r="662" ht="15.75" customHeight="1">
      <c r="I662" s="14"/>
    </row>
    <row r="663" ht="15.75" customHeight="1">
      <c r="I663" s="14"/>
    </row>
    <row r="664" ht="15.75" customHeight="1">
      <c r="I664" s="14"/>
    </row>
    <row r="665" ht="15.75" customHeight="1">
      <c r="I665" s="14"/>
    </row>
    <row r="666" ht="15.75" customHeight="1">
      <c r="I666" s="14"/>
    </row>
    <row r="667" ht="15.75" customHeight="1">
      <c r="I667" s="14"/>
    </row>
    <row r="668" ht="15.75" customHeight="1">
      <c r="I668" s="14"/>
    </row>
    <row r="669" ht="15.75" customHeight="1">
      <c r="I669" s="14"/>
    </row>
    <row r="670" ht="15.75" customHeight="1">
      <c r="I670" s="14"/>
    </row>
    <row r="671" ht="15.75" customHeight="1">
      <c r="I671" s="14"/>
    </row>
    <row r="672" ht="15.75" customHeight="1">
      <c r="I672" s="14"/>
    </row>
    <row r="673" ht="15.75" customHeight="1">
      <c r="I673" s="14"/>
    </row>
    <row r="674" ht="15.75" customHeight="1">
      <c r="I674" s="14"/>
    </row>
    <row r="675" ht="15.75" customHeight="1">
      <c r="I675" s="14"/>
    </row>
    <row r="676" ht="15.75" customHeight="1">
      <c r="I676" s="14"/>
    </row>
    <row r="677" ht="15.75" customHeight="1">
      <c r="I677" s="14"/>
    </row>
    <row r="678" ht="15.75" customHeight="1">
      <c r="I678" s="14"/>
    </row>
    <row r="679" ht="15.75" customHeight="1">
      <c r="I679" s="14"/>
    </row>
    <row r="680" ht="15.75" customHeight="1">
      <c r="I680" s="14"/>
    </row>
    <row r="681" ht="15.75" customHeight="1">
      <c r="I681" s="14"/>
    </row>
    <row r="682" ht="15.75" customHeight="1">
      <c r="I682" s="14"/>
    </row>
    <row r="683" ht="15.75" customHeight="1">
      <c r="I683" s="14"/>
    </row>
    <row r="684" ht="15.75" customHeight="1">
      <c r="I684" s="14"/>
    </row>
    <row r="685" ht="15.75" customHeight="1">
      <c r="I685" s="14"/>
    </row>
    <row r="686" ht="15.75" customHeight="1">
      <c r="I686" s="14"/>
    </row>
    <row r="687" ht="15.75" customHeight="1">
      <c r="I687" s="14"/>
    </row>
    <row r="688" ht="15.75" customHeight="1">
      <c r="I688" s="14"/>
    </row>
    <row r="689" ht="15.75" customHeight="1">
      <c r="I689" s="14"/>
    </row>
    <row r="690" ht="15.75" customHeight="1">
      <c r="I690" s="14"/>
    </row>
    <row r="691" ht="15.75" customHeight="1">
      <c r="I691" s="14"/>
    </row>
    <row r="692" ht="15.75" customHeight="1">
      <c r="I692" s="14"/>
    </row>
    <row r="693" ht="15.75" customHeight="1">
      <c r="I693" s="14"/>
    </row>
    <row r="694" ht="15.75" customHeight="1">
      <c r="I694" s="14"/>
    </row>
    <row r="695" ht="15.75" customHeight="1">
      <c r="I695" s="14"/>
    </row>
    <row r="696" ht="15.75" customHeight="1">
      <c r="I696" s="14"/>
    </row>
    <row r="697" ht="15.75" customHeight="1">
      <c r="I697" s="14"/>
    </row>
    <row r="698" ht="15.75" customHeight="1">
      <c r="I698" s="14"/>
    </row>
    <row r="699" ht="15.75" customHeight="1">
      <c r="I699" s="14"/>
    </row>
    <row r="700" ht="15.75" customHeight="1">
      <c r="I700" s="14"/>
    </row>
    <row r="701" ht="15.75" customHeight="1">
      <c r="I701" s="14"/>
    </row>
    <row r="702" ht="15.75" customHeight="1">
      <c r="I702" s="14"/>
    </row>
    <row r="703" ht="15.75" customHeight="1">
      <c r="I703" s="14"/>
    </row>
    <row r="704" ht="15.75" customHeight="1">
      <c r="I704" s="14"/>
    </row>
    <row r="705" ht="15.75" customHeight="1">
      <c r="I705" s="14"/>
    </row>
    <row r="706" ht="15.75" customHeight="1">
      <c r="I706" s="14"/>
    </row>
    <row r="707" ht="15.75" customHeight="1">
      <c r="I707" s="14"/>
    </row>
    <row r="708" ht="15.75" customHeight="1">
      <c r="I708" s="14"/>
    </row>
    <row r="709" ht="15.75" customHeight="1">
      <c r="I709" s="14"/>
    </row>
    <row r="710" ht="15.75" customHeight="1">
      <c r="I710" s="14"/>
    </row>
    <row r="711" ht="15.75" customHeight="1">
      <c r="I711" s="14"/>
    </row>
    <row r="712" ht="15.75" customHeight="1">
      <c r="I712" s="14"/>
    </row>
    <row r="713" ht="15.75" customHeight="1">
      <c r="I713" s="14"/>
    </row>
    <row r="714" ht="15.75" customHeight="1">
      <c r="I714" s="14"/>
    </row>
    <row r="715" ht="15.75" customHeight="1">
      <c r="I715" s="14"/>
    </row>
    <row r="716" ht="15.75" customHeight="1">
      <c r="I716" s="14"/>
    </row>
    <row r="717" ht="15.75" customHeight="1">
      <c r="I717" s="14"/>
    </row>
    <row r="718" ht="15.75" customHeight="1">
      <c r="I718" s="14"/>
    </row>
    <row r="719" ht="15.75" customHeight="1">
      <c r="I719" s="14"/>
    </row>
    <row r="720" ht="15.75" customHeight="1">
      <c r="I720" s="14"/>
    </row>
    <row r="721" ht="15.75" customHeight="1">
      <c r="I721" s="14"/>
    </row>
    <row r="722" ht="15.75" customHeight="1">
      <c r="I722" s="14"/>
    </row>
    <row r="723" ht="15.75" customHeight="1">
      <c r="I723" s="14"/>
    </row>
    <row r="724" ht="15.75" customHeight="1">
      <c r="I724" s="14"/>
    </row>
    <row r="725" ht="15.75" customHeight="1">
      <c r="I725" s="14"/>
    </row>
    <row r="726" ht="15.75" customHeight="1">
      <c r="I726" s="14"/>
    </row>
    <row r="727" ht="15.75" customHeight="1">
      <c r="I727" s="14"/>
    </row>
    <row r="728" ht="15.75" customHeight="1">
      <c r="I728" s="14"/>
    </row>
    <row r="729" ht="15.75" customHeight="1">
      <c r="I729" s="14"/>
    </row>
    <row r="730" ht="15.75" customHeight="1">
      <c r="I730" s="14"/>
    </row>
    <row r="731" ht="15.75" customHeight="1">
      <c r="I731" s="14"/>
    </row>
    <row r="732" ht="15.75" customHeight="1">
      <c r="I732" s="14"/>
    </row>
    <row r="733" ht="15.75" customHeight="1">
      <c r="I733" s="14"/>
    </row>
    <row r="734" ht="15.75" customHeight="1">
      <c r="I734" s="14"/>
    </row>
    <row r="735" ht="15.75" customHeight="1">
      <c r="I735" s="14"/>
    </row>
    <row r="736" ht="15.75" customHeight="1">
      <c r="I736" s="14"/>
    </row>
    <row r="737" ht="15.75" customHeight="1">
      <c r="I737" s="14"/>
    </row>
    <row r="738" ht="15.75" customHeight="1">
      <c r="I738" s="14"/>
    </row>
    <row r="739" ht="15.75" customHeight="1">
      <c r="I739" s="14"/>
    </row>
    <row r="740" ht="15.75" customHeight="1">
      <c r="I740" s="14"/>
    </row>
    <row r="741" ht="15.75" customHeight="1">
      <c r="I741" s="14"/>
    </row>
    <row r="742" ht="15.75" customHeight="1">
      <c r="I742" s="14"/>
    </row>
    <row r="743" ht="15.75" customHeight="1">
      <c r="I743" s="14"/>
    </row>
    <row r="744" ht="15.75" customHeight="1">
      <c r="I744" s="14"/>
    </row>
    <row r="745" ht="15.75" customHeight="1">
      <c r="I745" s="14"/>
    </row>
    <row r="746" ht="15.75" customHeight="1">
      <c r="I746" s="14"/>
    </row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13.33"/>
    <col customWidth="1" min="3" max="3" width="14.44"/>
    <col customWidth="1" min="4" max="4" width="12.44"/>
    <col customWidth="1" min="5" max="5" width="24.44"/>
    <col customWidth="1" min="6" max="6" width="10.78"/>
    <col customWidth="1" min="7" max="7" width="19.78"/>
    <col customWidth="1" min="8" max="8" width="15.33"/>
    <col customWidth="1" min="9" max="26" width="10.56"/>
  </cols>
  <sheetData>
    <row r="1" ht="15.75" customHeight="1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8" t="s">
        <v>34</v>
      </c>
      <c r="G1" s="17" t="s">
        <v>35</v>
      </c>
      <c r="H1" s="17" t="s">
        <v>14</v>
      </c>
    </row>
    <row r="2" ht="15.75" customHeight="1">
      <c r="A2" s="3">
        <v>44927.0</v>
      </c>
      <c r="B2" s="6">
        <f>'Google Ads Data'!C2/'Google Ads Data'!B2</f>
        <v>0.01987208771</v>
      </c>
      <c r="C2" s="6">
        <f>'Google Ads Data'!E2/'Google Ads Data'!C2</f>
        <v>0.01724137931</v>
      </c>
      <c r="D2" s="5">
        <f>'Google Ads Data'!D2/'Google Ads Data'!C2</f>
        <v>1.231724138</v>
      </c>
      <c r="E2" s="5">
        <f>'Google Ads Data'!F2/'Google Ads Data'!E2</f>
        <v>153.8922222</v>
      </c>
      <c r="F2" s="7">
        <f>'Google Ads Data'!F2/'Google Ads Data'!D2</f>
        <v>2.154146448</v>
      </c>
      <c r="G2" s="5">
        <f>'Google Ads Data'!D2/'Google Ads Data'!E2</f>
        <v>71.44</v>
      </c>
      <c r="H2" s="5">
        <f>('Google Ads Data'!D2/'Google Ads Data'!B2)*1000</f>
        <v>24.47693011</v>
      </c>
    </row>
    <row r="3" ht="15.75" customHeight="1">
      <c r="A3" s="3">
        <v>44928.0</v>
      </c>
      <c r="B3" s="6">
        <f>'Google Ads Data'!C3/'Google Ads Data'!B3</f>
        <v>0.01699988157</v>
      </c>
      <c r="C3" s="6">
        <f>'Google Ads Data'!E3/'Google Ads Data'!C3</f>
        <v>0.02343255225</v>
      </c>
      <c r="D3" s="5">
        <f>'Google Ads Data'!D3/'Google Ads Data'!C3</f>
        <v>1.390006333</v>
      </c>
      <c r="E3" s="5">
        <f>'Google Ads Data'!F3/'Google Ads Data'!E3</f>
        <v>148.9135135</v>
      </c>
      <c r="F3" s="7">
        <f>'Google Ads Data'!F3/'Google Ads Data'!D3</f>
        <v>2.510365315</v>
      </c>
      <c r="G3" s="5">
        <f>'Google Ads Data'!D3/'Google Ads Data'!E3</f>
        <v>59.31945946</v>
      </c>
      <c r="H3" s="5">
        <f>('Google Ads Data'!D3/'Google Ads Data'!B3)*1000</f>
        <v>23.62994305</v>
      </c>
    </row>
    <row r="4" ht="15.75" customHeight="1">
      <c r="A4" s="3">
        <v>44929.0</v>
      </c>
      <c r="B4" s="6">
        <f>'Google Ads Data'!C4/'Google Ads Data'!B4</f>
        <v>0.0184553661</v>
      </c>
      <c r="C4" s="6">
        <f>'Google Ads Data'!E4/'Google Ads Data'!C4</f>
        <v>0.02173913043</v>
      </c>
      <c r="D4" s="5">
        <f>'Google Ads Data'!D4/'Google Ads Data'!C4</f>
        <v>1.132717391</v>
      </c>
      <c r="E4" s="5">
        <f>'Google Ads Data'!F4/'Google Ads Data'!E4</f>
        <v>116.6983333</v>
      </c>
      <c r="F4" s="7">
        <f>'Google Ads Data'!F4/'Google Ads Data'!D4</f>
        <v>2.239676295</v>
      </c>
      <c r="G4" s="5">
        <f>'Google Ads Data'!D4/'Google Ads Data'!E4</f>
        <v>52.105</v>
      </c>
      <c r="H4" s="5">
        <f>('Google Ads Data'!D4/'Google Ads Data'!B4)*1000</f>
        <v>20.90471414</v>
      </c>
    </row>
    <row r="5" ht="15.75" customHeight="1">
      <c r="A5" s="3">
        <v>44930.0</v>
      </c>
      <c r="B5" s="6">
        <f>'Google Ads Data'!C5/'Google Ads Data'!B5</f>
        <v>0.01707655258</v>
      </c>
      <c r="C5" s="6">
        <f>'Google Ads Data'!E5/'Google Ads Data'!C5</f>
        <v>0.01851851852</v>
      </c>
      <c r="D5" s="5">
        <f>'Google Ads Data'!D5/'Google Ads Data'!C5</f>
        <v>1.802464387</v>
      </c>
      <c r="E5" s="5">
        <f>'Google Ads Data'!F5/'Google Ads Data'!E5</f>
        <v>209.8507692</v>
      </c>
      <c r="F5" s="7">
        <f>'Google Ads Data'!F5/'Google Ads Data'!D5</f>
        <v>2.156006733</v>
      </c>
      <c r="G5" s="5">
        <f>'Google Ads Data'!D5/'Google Ads Data'!E5</f>
        <v>97.33307692</v>
      </c>
      <c r="H5" s="5">
        <f>('Google Ads Data'!D5/'Google Ads Data'!B5)*1000</f>
        <v>30.77987789</v>
      </c>
    </row>
    <row r="6" ht="15.75" customHeight="1">
      <c r="A6" s="3">
        <v>44931.0</v>
      </c>
      <c r="B6" s="6">
        <f>'Google Ads Data'!C6/'Google Ads Data'!B6</f>
        <v>0.01458316881</v>
      </c>
      <c r="C6" s="6">
        <f>'Google Ads Data'!E6/'Google Ads Data'!C6</f>
        <v>0.02346570397</v>
      </c>
      <c r="D6" s="5">
        <f>'Google Ads Data'!D6/'Google Ads Data'!C6</f>
        <v>1.44166065</v>
      </c>
      <c r="E6" s="5">
        <f>'Google Ads Data'!F6/'Google Ads Data'!E6</f>
        <v>211.4069231</v>
      </c>
      <c r="F6" s="7">
        <f>'Google Ads Data'!F6/'Google Ads Data'!D6</f>
        <v>3.441040216</v>
      </c>
      <c r="G6" s="5">
        <f>'Google Ads Data'!D6/'Google Ads Data'!E6</f>
        <v>61.43692308</v>
      </c>
      <c r="H6" s="5">
        <f>('Google Ads Data'!D6/'Google Ads Data'!B6)*1000</f>
        <v>21.02398063</v>
      </c>
    </row>
    <row r="7" ht="15.75" customHeight="1">
      <c r="A7" s="3">
        <v>44932.0</v>
      </c>
      <c r="B7" s="6">
        <f>'Google Ads Data'!C7/'Google Ads Data'!B7</f>
        <v>0.01778455285</v>
      </c>
      <c r="C7" s="6">
        <f>'Google Ads Data'!E7/'Google Ads Data'!C7</f>
        <v>0.01474654378</v>
      </c>
      <c r="D7" s="5">
        <f>'Google Ads Data'!D7/'Google Ads Data'!C7</f>
        <v>1.831585253</v>
      </c>
      <c r="E7" s="5">
        <f>'Google Ads Data'!F7/'Google Ads Data'!E7</f>
        <v>183.449375</v>
      </c>
      <c r="F7" s="7">
        <f>'Google Ads Data'!F7/'Google Ads Data'!D7</f>
        <v>1.47699608</v>
      </c>
      <c r="G7" s="5">
        <f>'Google Ads Data'!D7/'Google Ads Data'!E7</f>
        <v>124.204375</v>
      </c>
      <c r="H7" s="5">
        <f>('Google Ads Data'!D7/'Google Ads Data'!B7)*1000</f>
        <v>32.57392473</v>
      </c>
    </row>
    <row r="8" ht="15.75" customHeight="1">
      <c r="A8" s="3">
        <v>44933.0</v>
      </c>
      <c r="B8" s="6">
        <f>'Google Ads Data'!C8/'Google Ads Data'!B8</f>
        <v>0.02757796419</v>
      </c>
      <c r="C8" s="6">
        <f>'Google Ads Data'!E8/'Google Ads Data'!C8</f>
        <v>0.02086677368</v>
      </c>
      <c r="D8" s="5">
        <f>'Google Ads Data'!D8/'Google Ads Data'!C8</f>
        <v>1.010802568</v>
      </c>
      <c r="E8" s="5">
        <f>'Google Ads Data'!F8/'Google Ads Data'!E8</f>
        <v>199.4234615</v>
      </c>
      <c r="F8" s="7">
        <f>'Google Ads Data'!F8/'Google Ads Data'!D8</f>
        <v>4.116851667</v>
      </c>
      <c r="G8" s="5">
        <f>'Google Ads Data'!D8/'Google Ads Data'!E8</f>
        <v>48.44076923</v>
      </c>
      <c r="H8" s="5">
        <f>('Google Ads Data'!D8/'Google Ads Data'!B8)*1000</f>
        <v>27.87587703</v>
      </c>
    </row>
    <row r="9" ht="15.75" customHeight="1">
      <c r="A9" s="3">
        <v>44934.0</v>
      </c>
      <c r="B9" s="6">
        <f>'Google Ads Data'!C9/'Google Ads Data'!B9</f>
        <v>0.009992663614</v>
      </c>
      <c r="C9" s="6">
        <f>'Google Ads Data'!E9/'Google Ads Data'!C9</f>
        <v>0.02278481013</v>
      </c>
      <c r="D9" s="5">
        <f>'Google Ads Data'!D9/'Google Ads Data'!C9</f>
        <v>1.67121519</v>
      </c>
      <c r="E9" s="5">
        <f>'Google Ads Data'!F9/'Google Ads Data'!E9</f>
        <v>159.2888889</v>
      </c>
      <c r="F9" s="7">
        <f>'Google Ads Data'!F9/'Google Ads Data'!D9</f>
        <v>2.171693454</v>
      </c>
      <c r="G9" s="5">
        <f>'Google Ads Data'!D9/'Google Ads Data'!E9</f>
        <v>73.34777778</v>
      </c>
      <c r="H9" s="5">
        <f>('Google Ads Data'!D9/'Google Ads Data'!B9)*1000</f>
        <v>16.69989122</v>
      </c>
    </row>
    <row r="10" ht="15.75" customHeight="1">
      <c r="A10" s="3">
        <v>44935.0</v>
      </c>
      <c r="B10" s="6">
        <f>'Google Ads Data'!C10/'Google Ads Data'!B10</f>
        <v>0.02049696826</v>
      </c>
      <c r="C10" s="6">
        <f>'Google Ads Data'!E10/'Google Ads Data'!C10</f>
        <v>0.01856148492</v>
      </c>
      <c r="D10" s="5">
        <f>'Google Ads Data'!D10/'Google Ads Data'!C10</f>
        <v>1.360197216</v>
      </c>
      <c r="E10" s="5">
        <f>'Google Ads Data'!F10/'Google Ads Data'!E10</f>
        <v>191.4246875</v>
      </c>
      <c r="F10" s="7">
        <f>'Google Ads Data'!F10/'Google Ads Data'!D10</f>
        <v>2.612214177</v>
      </c>
      <c r="G10" s="5">
        <f>'Google Ads Data'!D10/'Google Ads Data'!E10</f>
        <v>73.280625</v>
      </c>
      <c r="H10" s="5">
        <f>('Google Ads Data'!D10/'Google Ads Data'!B10)*1000</f>
        <v>27.87991915</v>
      </c>
    </row>
    <row r="11" ht="15.75" customHeight="1">
      <c r="A11" s="3">
        <v>44936.0</v>
      </c>
      <c r="B11" s="6">
        <f>'Google Ads Data'!C11/'Google Ads Data'!B11</f>
        <v>0.01849841382</v>
      </c>
      <c r="C11" s="6">
        <f>'Google Ads Data'!E11/'Google Ads Data'!C11</f>
        <v>0.01219512195</v>
      </c>
      <c r="D11" s="5">
        <f>'Google Ads Data'!D11/'Google Ads Data'!C11</f>
        <v>1.770144817</v>
      </c>
      <c r="E11" s="5">
        <f>'Google Ads Data'!F11/'Google Ads Data'!E11</f>
        <v>193.741875</v>
      </c>
      <c r="F11" s="7">
        <f>'Google Ads Data'!F11/'Google Ads Data'!D11</f>
        <v>1.334752824</v>
      </c>
      <c r="G11" s="5">
        <f>'Google Ads Data'!D11/'Google Ads Data'!E11</f>
        <v>145.151875</v>
      </c>
      <c r="H11" s="5">
        <f>('Google Ads Data'!D11/'Google Ads Data'!B11)*1000</f>
        <v>32.74487134</v>
      </c>
    </row>
    <row r="12" ht="15.75" customHeight="1">
      <c r="A12" s="3">
        <v>44937.0</v>
      </c>
      <c r="B12" s="6">
        <f>'Google Ads Data'!C12/'Google Ads Data'!B12</f>
        <v>0.009999106082</v>
      </c>
      <c r="C12" s="6">
        <f>'Google Ads Data'!E12/'Google Ads Data'!C12</f>
        <v>0.02171136654</v>
      </c>
      <c r="D12" s="5">
        <f>'Google Ads Data'!D12/'Google Ads Data'!C12</f>
        <v>1.810153257</v>
      </c>
      <c r="E12" s="5">
        <f>'Google Ads Data'!F12/'Google Ads Data'!E12</f>
        <v>185.6523529</v>
      </c>
      <c r="F12" s="7">
        <f>'Google Ads Data'!F12/'Google Ads Data'!D12</f>
        <v>2.226754154</v>
      </c>
      <c r="G12" s="5">
        <f>'Google Ads Data'!D12/'Google Ads Data'!E12</f>
        <v>83.37352941</v>
      </c>
      <c r="H12" s="5">
        <f>('Google Ads Data'!D12/'Google Ads Data'!B12)*1000</f>
        <v>18.09991444</v>
      </c>
    </row>
    <row r="13" ht="15.75" customHeight="1">
      <c r="A13" s="3">
        <v>44938.0</v>
      </c>
      <c r="B13" s="6">
        <f>'Google Ads Data'!C13/'Google Ads Data'!B13</f>
        <v>0.01799098318</v>
      </c>
      <c r="C13" s="6">
        <f>'Google Ads Data'!E13/'Google Ads Data'!C13</f>
        <v>0.01264822134</v>
      </c>
      <c r="D13" s="5">
        <f>'Google Ads Data'!D13/'Google Ads Data'!C13</f>
        <v>1.710853755</v>
      </c>
      <c r="E13" s="5">
        <f>'Google Ads Data'!F13/'Google Ads Data'!E13</f>
        <v>194.40125</v>
      </c>
      <c r="F13" s="7">
        <f>'Google Ads Data'!F13/'Google Ads Data'!D13</f>
        <v>1.437194753</v>
      </c>
      <c r="G13" s="5">
        <f>'Google Ads Data'!D13/'Google Ads Data'!E13</f>
        <v>135.264375</v>
      </c>
      <c r="H13" s="5">
        <f>('Google Ads Data'!D13/'Google Ads Data'!B13)*1000</f>
        <v>30.77994112</v>
      </c>
    </row>
    <row r="14" ht="15.75" customHeight="1">
      <c r="A14" s="3">
        <v>44939.0</v>
      </c>
      <c r="B14" s="6">
        <f>'Google Ads Data'!C14/'Google Ads Data'!B14</f>
        <v>0.01939055217</v>
      </c>
      <c r="C14" s="6">
        <f>'Google Ads Data'!E14/'Google Ads Data'!C14</f>
        <v>0.01485148515</v>
      </c>
      <c r="D14" s="5">
        <f>'Google Ads Data'!D14/'Google Ads Data'!C14</f>
        <v>1.200583058</v>
      </c>
      <c r="E14" s="5">
        <f>'Google Ads Data'!F14/'Google Ads Data'!E14</f>
        <v>133.257037</v>
      </c>
      <c r="F14" s="7">
        <f>'Google Ads Data'!F14/'Google Ads Data'!D14</f>
        <v>1.648419818</v>
      </c>
      <c r="G14" s="5">
        <f>'Google Ads Data'!D14/'Google Ads Data'!E14</f>
        <v>80.83925926</v>
      </c>
      <c r="H14" s="5">
        <f>('Google Ads Data'!D14/'Google Ads Data'!B14)*1000</f>
        <v>23.27996843</v>
      </c>
    </row>
    <row r="15" ht="15.75" customHeight="1">
      <c r="A15" s="3">
        <v>44940.0</v>
      </c>
      <c r="B15" s="6">
        <f>'Google Ads Data'!C15/'Google Ads Data'!B15</f>
        <v>0.01828866275</v>
      </c>
      <c r="C15" s="6">
        <f>'Google Ads Data'!E15/'Google Ads Data'!C15</f>
        <v>0.02037617555</v>
      </c>
      <c r="D15" s="5">
        <f>'Google Ads Data'!D15/'Google Ads Data'!C15</f>
        <v>1.841136364</v>
      </c>
      <c r="E15" s="5">
        <f>'Google Ads Data'!F15/'Google Ads Data'!E15</f>
        <v>136.1253846</v>
      </c>
      <c r="F15" s="7">
        <f>'Google Ads Data'!F15/'Google Ads Data'!D15</f>
        <v>1.506523247</v>
      </c>
      <c r="G15" s="5">
        <f>'Google Ads Data'!D15/'Google Ads Data'!E15</f>
        <v>90.35730769</v>
      </c>
      <c r="H15" s="5">
        <f>('Google Ads Data'!D15/'Google Ads Data'!B15)*1000</f>
        <v>33.67192203</v>
      </c>
    </row>
    <row r="16" ht="15.75" customHeight="1">
      <c r="A16" s="3">
        <v>44941.0</v>
      </c>
      <c r="B16" s="6">
        <f>'Google Ads Data'!C16/'Google Ads Data'!B16</f>
        <v>0.02698859556</v>
      </c>
      <c r="C16" s="6">
        <f>'Google Ads Data'!E16/'Google Ads Data'!C16</f>
        <v>0.01330494944</v>
      </c>
      <c r="D16" s="5">
        <f>'Google Ads Data'!D16/'Google Ads Data'!C16</f>
        <v>1.370574774</v>
      </c>
      <c r="E16" s="5">
        <f>'Google Ads Data'!F16/'Google Ads Data'!E16</f>
        <v>106.0052</v>
      </c>
      <c r="F16" s="7">
        <f>'Google Ads Data'!F16/'Google Ads Data'!D16</f>
        <v>1.029052813</v>
      </c>
      <c r="G16" s="5">
        <f>'Google Ads Data'!D16/'Google Ads Data'!E16</f>
        <v>103.0124</v>
      </c>
      <c r="H16" s="5">
        <f>('Google Ads Data'!D16/'Google Ads Data'!B16)*1000</f>
        <v>36.98988825</v>
      </c>
    </row>
    <row r="17" ht="15.75" customHeight="1">
      <c r="A17" s="3">
        <v>44942.0</v>
      </c>
      <c r="B17" s="6">
        <f>'Google Ads Data'!C17/'Google Ads Data'!B17</f>
        <v>0.0284751392</v>
      </c>
      <c r="C17" s="6">
        <f>'Google Ads Data'!E17/'Google Ads Data'!C17</f>
        <v>0.01886792453</v>
      </c>
      <c r="D17" s="5">
        <f>'Google Ads Data'!D17/'Google Ads Data'!C17</f>
        <v>2.001732419</v>
      </c>
      <c r="E17" s="5">
        <f>'Google Ads Data'!F17/'Google Ads Data'!E17</f>
        <v>133.0927273</v>
      </c>
      <c r="F17" s="7">
        <f>'Google Ads Data'!F17/'Google Ads Data'!D17</f>
        <v>1.254505103</v>
      </c>
      <c r="G17" s="5">
        <f>'Google Ads Data'!D17/'Google Ads Data'!E17</f>
        <v>106.0918182</v>
      </c>
      <c r="H17" s="5">
        <f>('Google Ads Data'!D17/'Google Ads Data'!B17)*1000</f>
        <v>56.99960926</v>
      </c>
    </row>
    <row r="18" ht="15.75" customHeight="1">
      <c r="A18" s="3">
        <v>44943.0</v>
      </c>
      <c r="B18" s="6">
        <f>'Google Ads Data'!C18/'Google Ads Data'!B18</f>
        <v>0.02239972739</v>
      </c>
      <c r="C18" s="6">
        <f>'Google Ads Data'!E18/'Google Ads Data'!C18</f>
        <v>0.02371364653</v>
      </c>
      <c r="D18" s="5">
        <f>'Google Ads Data'!D18/'Google Ads Data'!C18</f>
        <v>1.740017897</v>
      </c>
      <c r="E18" s="5">
        <f>'Google Ads Data'!F18/'Google Ads Data'!E18</f>
        <v>161.9339623</v>
      </c>
      <c r="F18" s="7">
        <f>'Google Ads Data'!F18/'Google Ads Data'!D18</f>
        <v>2.206899566</v>
      </c>
      <c r="G18" s="5">
        <f>'Google Ads Data'!D18/'Google Ads Data'!E18</f>
        <v>73.37622642</v>
      </c>
      <c r="H18" s="5">
        <f>('Google Ads Data'!D18/'Google Ads Data'!B18)*1000</f>
        <v>38.97592656</v>
      </c>
    </row>
    <row r="19" ht="15.75" customHeight="1">
      <c r="A19" s="3">
        <v>44944.0</v>
      </c>
      <c r="B19" s="6">
        <f>'Google Ads Data'!C19/'Google Ads Data'!B19</f>
        <v>0.0261872412</v>
      </c>
      <c r="C19" s="6">
        <f>'Google Ads Data'!E19/'Google Ads Data'!C19</f>
        <v>0.01358863496</v>
      </c>
      <c r="D19" s="5">
        <f>'Google Ads Data'!D19/'Google Ads Data'!C19</f>
        <v>1.200580605</v>
      </c>
      <c r="E19" s="5">
        <f>'Google Ads Data'!F19/'Google Ads Data'!E19</f>
        <v>151.5681818</v>
      </c>
      <c r="F19" s="7">
        <f>'Google Ads Data'!F19/'Google Ads Data'!D19</f>
        <v>1.715507218</v>
      </c>
      <c r="G19" s="5">
        <f>'Google Ads Data'!D19/'Google Ads Data'!E19</f>
        <v>88.35181818</v>
      </c>
      <c r="H19" s="5">
        <f>('Google Ads Data'!D19/'Google Ads Data'!B19)*1000</f>
        <v>31.43989389</v>
      </c>
    </row>
    <row r="20" ht="15.75" customHeight="1">
      <c r="A20" s="3">
        <v>44945.0</v>
      </c>
      <c r="B20" s="6">
        <f>'Google Ads Data'!C20/'Google Ads Data'!B20</f>
        <v>0.01168768333</v>
      </c>
      <c r="C20" s="6">
        <f>'Google Ads Data'!E20/'Google Ads Data'!C20</f>
        <v>0.02328589909</v>
      </c>
      <c r="D20" s="5">
        <f>'Google Ads Data'!D20/'Google Ads Data'!C20</f>
        <v>1.651733506</v>
      </c>
      <c r="E20" s="5">
        <f>'Google Ads Data'!F20/'Google Ads Data'!E20</f>
        <v>137.3261111</v>
      </c>
      <c r="F20" s="7">
        <f>'Google Ads Data'!F20/'Google Ads Data'!D20</f>
        <v>1.936003571</v>
      </c>
      <c r="G20" s="5">
        <f>'Google Ads Data'!D20/'Google Ads Data'!E20</f>
        <v>70.93277778</v>
      </c>
      <c r="H20" s="5">
        <f>('Google Ads Data'!D20/'Google Ads Data'!B20)*1000</f>
        <v>19.30493816</v>
      </c>
    </row>
    <row r="21" ht="15.75" customHeight="1">
      <c r="A21" s="3">
        <v>44946.0</v>
      </c>
      <c r="B21" s="6">
        <f>'Google Ads Data'!C21/'Google Ads Data'!B21</f>
        <v>0.01409184373</v>
      </c>
      <c r="C21" s="6">
        <f>'Google Ads Data'!E21/'Google Ads Data'!C21</f>
        <v>0.01556420233</v>
      </c>
      <c r="D21" s="5">
        <f>'Google Ads Data'!D21/'Google Ads Data'!C21</f>
        <v>1.240710117</v>
      </c>
      <c r="E21" s="5">
        <f>'Google Ads Data'!F21/'Google Ads Data'!E21</f>
        <v>202.38875</v>
      </c>
      <c r="F21" s="7">
        <f>'Google Ads Data'!F21/'Google Ads Data'!D21</f>
        <v>2.538884315</v>
      </c>
      <c r="G21" s="5">
        <f>'Google Ads Data'!D21/'Google Ads Data'!E21</f>
        <v>79.715625</v>
      </c>
      <c r="H21" s="5">
        <f>('Google Ads Data'!D21/'Google Ads Data'!B21)*1000</f>
        <v>17.48389308</v>
      </c>
    </row>
    <row r="22" ht="15.75" customHeight="1">
      <c r="A22" s="3">
        <v>44947.0</v>
      </c>
      <c r="B22" s="6">
        <f>'Google Ads Data'!C22/'Google Ads Data'!B22</f>
        <v>0.02169300032</v>
      </c>
      <c r="C22" s="6">
        <f>'Google Ads Data'!E22/'Google Ads Data'!C22</f>
        <v>0.01784534038</v>
      </c>
      <c r="D22" s="5">
        <f>'Google Ads Data'!D22/'Google Ads Data'!C22</f>
        <v>1.610515532</v>
      </c>
      <c r="E22" s="5">
        <f>'Google Ads Data'!F22/'Google Ads Data'!E22</f>
        <v>157.1111111</v>
      </c>
      <c r="F22" s="7">
        <f>'Google Ads Data'!F22/'Google Ads Data'!D22</f>
        <v>1.740871913</v>
      </c>
      <c r="G22" s="5">
        <f>'Google Ads Data'!D22/'Google Ads Data'!E22</f>
        <v>90.24851852</v>
      </c>
      <c r="H22" s="5">
        <f>('Google Ads Data'!D22/'Google Ads Data'!B22)*1000</f>
        <v>34.93691394</v>
      </c>
    </row>
    <row r="23" ht="15.75" customHeight="1">
      <c r="A23" s="3">
        <v>44948.0</v>
      </c>
      <c r="B23" s="6">
        <f>'Google Ads Data'!C23/'Google Ads Data'!B23</f>
        <v>0.01237937421</v>
      </c>
      <c r="C23" s="6">
        <f>'Google Ads Data'!E23/'Google Ads Data'!C23</f>
        <v>0.01968503937</v>
      </c>
      <c r="D23" s="5">
        <f>'Google Ads Data'!D23/'Google Ads Data'!C23</f>
        <v>1.402322835</v>
      </c>
      <c r="E23" s="5">
        <f>'Google Ads Data'!F23/'Google Ads Data'!E23</f>
        <v>120.5</v>
      </c>
      <c r="F23" s="7">
        <f>'Google Ads Data'!F23/'Google Ads Data'!D23</f>
        <v>1.691512957</v>
      </c>
      <c r="G23" s="5">
        <f>'Google Ads Data'!D23/'Google Ads Data'!E23</f>
        <v>71.238</v>
      </c>
      <c r="H23" s="5">
        <f>('Google Ads Data'!D23/'Google Ads Data'!B23)*1000</f>
        <v>17.35987913</v>
      </c>
    </row>
    <row r="24" ht="15.75" customHeight="1">
      <c r="A24" s="3">
        <v>44949.0</v>
      </c>
      <c r="B24" s="6">
        <f>'Google Ads Data'!C24/'Google Ads Data'!B24</f>
        <v>0.01294366656</v>
      </c>
      <c r="C24" s="6">
        <f>'Google Ads Data'!E24/'Google Ads Data'!C24</f>
        <v>0.01886792453</v>
      </c>
      <c r="D24" s="5">
        <f>'Google Ads Data'!D24/'Google Ads Data'!C24</f>
        <v>1.014339623</v>
      </c>
      <c r="E24" s="5">
        <f>'Google Ads Data'!F24/'Google Ads Data'!E24</f>
        <v>172.7433333</v>
      </c>
      <c r="F24" s="7">
        <f>'Google Ads Data'!F24/'Google Ads Data'!D24</f>
        <v>3.213231647</v>
      </c>
      <c r="G24" s="5">
        <f>'Google Ads Data'!D24/'Google Ads Data'!E24</f>
        <v>53.76</v>
      </c>
      <c r="H24" s="5">
        <f>('Google Ads Data'!D24/'Google Ads Data'!B24)*1000</f>
        <v>13.12927385</v>
      </c>
    </row>
    <row r="25" ht="15.75" customHeight="1">
      <c r="A25" s="3">
        <v>44950.0</v>
      </c>
      <c r="B25" s="6">
        <f>'Google Ads Data'!C25/'Google Ads Data'!B25</f>
        <v>0.01688958747</v>
      </c>
      <c r="C25" s="6">
        <f>'Google Ads Data'!E25/'Google Ads Data'!C25</f>
        <v>0.02107111501</v>
      </c>
      <c r="D25" s="5">
        <f>'Google Ads Data'!D25/'Google Ads Data'!C25</f>
        <v>1.520930641</v>
      </c>
      <c r="E25" s="5">
        <f>'Google Ads Data'!F25/'Google Ads Data'!E25</f>
        <v>193.2933333</v>
      </c>
      <c r="F25" s="7">
        <f>'Google Ads Data'!F25/'Google Ads Data'!D25</f>
        <v>2.677903876</v>
      </c>
      <c r="G25" s="5">
        <f>'Google Ads Data'!D25/'Google Ads Data'!E25</f>
        <v>72.18083333</v>
      </c>
      <c r="H25" s="5">
        <f>('Google Ads Data'!D25/'Google Ads Data'!B25)*1000</f>
        <v>25.6878911</v>
      </c>
    </row>
    <row r="26" ht="15.75" customHeight="1">
      <c r="A26" s="3">
        <v>44951.0</v>
      </c>
      <c r="B26" s="6">
        <f>'Google Ads Data'!C26/'Google Ads Data'!B26</f>
        <v>0.02608016218</v>
      </c>
      <c r="C26" s="6">
        <f>'Google Ads Data'!E26/'Google Ads Data'!C26</f>
        <v>0.02267206478</v>
      </c>
      <c r="D26" s="5">
        <f>'Google Ads Data'!D26/'Google Ads Data'!C26</f>
        <v>1.941473684</v>
      </c>
      <c r="E26" s="5">
        <f>'Google Ads Data'!F26/'Google Ads Data'!E26</f>
        <v>179.6967857</v>
      </c>
      <c r="F26" s="7">
        <f>'Google Ads Data'!F26/'Google Ads Data'!D26</f>
        <v>2.098456033</v>
      </c>
      <c r="G26" s="5">
        <f>'Google Ads Data'!D26/'Google Ads Data'!E26</f>
        <v>85.63285714</v>
      </c>
      <c r="H26" s="5">
        <f>('Google Ads Data'!D26/'Google Ads Data'!B26)*1000</f>
        <v>50.63394856</v>
      </c>
    </row>
    <row r="27" ht="15.75" customHeight="1">
      <c r="A27" s="3">
        <v>44952.0</v>
      </c>
      <c r="B27" s="6">
        <f>'Google Ads Data'!C27/'Google Ads Data'!B27</f>
        <v>0.01137407277</v>
      </c>
      <c r="C27" s="6">
        <f>'Google Ads Data'!E27/'Google Ads Data'!C27</f>
        <v>0.01863354037</v>
      </c>
      <c r="D27" s="5">
        <f>'Google Ads Data'!D27/'Google Ads Data'!C27</f>
        <v>1.834161491</v>
      </c>
      <c r="E27" s="5">
        <f>'Google Ads Data'!F27/'Google Ads Data'!E27</f>
        <v>160.9366667</v>
      </c>
      <c r="F27" s="7">
        <f>'Google Ads Data'!F27/'Google Ads Data'!D27</f>
        <v>1.634981375</v>
      </c>
      <c r="G27" s="5">
        <f>'Google Ads Data'!D27/'Google Ads Data'!E27</f>
        <v>98.43333333</v>
      </c>
      <c r="H27" s="5">
        <f>('Google Ads Data'!D27/'Google Ads Data'!B27)*1000</f>
        <v>20.86188626</v>
      </c>
    </row>
    <row r="28" ht="15.75" customHeight="1">
      <c r="A28" s="3">
        <v>44953.0</v>
      </c>
      <c r="B28" s="6">
        <f>'Google Ads Data'!C28/'Google Ads Data'!B28</f>
        <v>0.01556696958</v>
      </c>
      <c r="C28" s="6">
        <f>'Google Ads Data'!E28/'Google Ads Data'!C28</f>
        <v>0.01776649746</v>
      </c>
      <c r="D28" s="5">
        <f>'Google Ads Data'!D28/'Google Ads Data'!C28</f>
        <v>1.924060914</v>
      </c>
      <c r="E28" s="5">
        <f>'Google Ads Data'!F28/'Google Ads Data'!E28</f>
        <v>185.81</v>
      </c>
      <c r="F28" s="7">
        <f>'Google Ads Data'!F28/'Google Ads Data'!D28</f>
        <v>1.715742402</v>
      </c>
      <c r="G28" s="5">
        <f>'Google Ads Data'!D28/'Google Ads Data'!E28</f>
        <v>108.2971429</v>
      </c>
      <c r="H28" s="5">
        <f>('Google Ads Data'!D28/'Google Ads Data'!B28)*1000</f>
        <v>29.95179771</v>
      </c>
    </row>
    <row r="29" ht="15.75" customHeight="1">
      <c r="A29" s="3">
        <v>44954.0</v>
      </c>
      <c r="B29" s="6">
        <f>'Google Ads Data'!C29/'Google Ads Data'!B29</f>
        <v>0.009988976742</v>
      </c>
      <c r="C29" s="6">
        <f>'Google Ads Data'!E29/'Google Ads Data'!C29</f>
        <v>0.02452316076</v>
      </c>
      <c r="D29" s="5">
        <f>'Google Ads Data'!D29/'Google Ads Data'!C29</f>
        <v>1.691852861</v>
      </c>
      <c r="E29" s="5">
        <f>'Google Ads Data'!F29/'Google Ads Data'!E29</f>
        <v>174.7377778</v>
      </c>
      <c r="F29" s="7">
        <f>'Google Ads Data'!F29/'Google Ads Data'!D29</f>
        <v>2.532798634</v>
      </c>
      <c r="G29" s="5">
        <f>'Google Ads Data'!D29/'Google Ads Data'!E29</f>
        <v>68.99</v>
      </c>
      <c r="H29" s="5">
        <f>('Google Ads Data'!D29/'Google Ads Data'!B29)*1000</f>
        <v>16.89987888</v>
      </c>
    </row>
    <row r="30" ht="15.75" customHeight="1">
      <c r="A30" s="3">
        <v>44955.0</v>
      </c>
      <c r="B30" s="6">
        <f>'Google Ads Data'!C30/'Google Ads Data'!B30</f>
        <v>0.02667732791</v>
      </c>
      <c r="C30" s="6">
        <f>'Google Ads Data'!E30/'Google Ads Data'!C30</f>
        <v>0.01771117166</v>
      </c>
      <c r="D30" s="5">
        <f>'Google Ads Data'!D30/'Google Ads Data'!C30</f>
        <v>1.201008174</v>
      </c>
      <c r="E30" s="5">
        <f>'Google Ads Data'!F30/'Google Ads Data'!E30</f>
        <v>208.1753846</v>
      </c>
      <c r="F30" s="7">
        <f>'Google Ads Data'!F30/'Google Ads Data'!D30</f>
        <v>3.069945777</v>
      </c>
      <c r="G30" s="5">
        <f>'Google Ads Data'!D30/'Google Ads Data'!E30</f>
        <v>67.81076923</v>
      </c>
      <c r="H30" s="5">
        <f>('Google Ads Data'!D30/'Google Ads Data'!B30)*1000</f>
        <v>32.03968889</v>
      </c>
    </row>
    <row r="31" ht="15.75" customHeight="1">
      <c r="A31" s="3">
        <v>44956.0</v>
      </c>
      <c r="B31" s="6">
        <f>'Google Ads Data'!C31/'Google Ads Data'!B31</f>
        <v>0.02918481764</v>
      </c>
      <c r="C31" s="6">
        <f>'Google Ads Data'!E31/'Google Ads Data'!C31</f>
        <v>0.01673360107</v>
      </c>
      <c r="D31" s="5">
        <f>'Google Ads Data'!D31/'Google Ads Data'!C31</f>
        <v>1.560809906</v>
      </c>
      <c r="E31" s="5">
        <f>'Google Ads Data'!F31/'Google Ads Data'!E31</f>
        <v>132.9156</v>
      </c>
      <c r="F31" s="7">
        <f>'Google Ads Data'!F31/'Google Ads Data'!D31</f>
        <v>1.425001608</v>
      </c>
      <c r="G31" s="5">
        <f>'Google Ads Data'!D31/'Google Ads Data'!E31</f>
        <v>93.274</v>
      </c>
      <c r="H31" s="5">
        <f>('Google Ads Data'!D31/'Google Ads Data'!B31)*1000</f>
        <v>45.55195249</v>
      </c>
    </row>
    <row r="32" ht="15.75" customHeight="1">
      <c r="A32" s="3">
        <v>44957.0</v>
      </c>
      <c r="B32" s="6">
        <f>'Google Ads Data'!C32/'Google Ads Data'!B32</f>
        <v>0.01999874695</v>
      </c>
      <c r="C32" s="6">
        <f>'Google Ads Data'!E32/'Google Ads Data'!C32</f>
        <v>0.01879699248</v>
      </c>
      <c r="D32" s="5">
        <f>'Google Ads Data'!D32/'Google Ads Data'!C32</f>
        <v>1.560093985</v>
      </c>
      <c r="E32" s="5">
        <f>'Google Ads Data'!F32/'Google Ads Data'!E32</f>
        <v>163.079</v>
      </c>
      <c r="F32" s="7">
        <f>'Google Ads Data'!F32/'Google Ads Data'!D32</f>
        <v>1.964878249</v>
      </c>
      <c r="G32" s="5">
        <f>'Google Ads Data'!D32/'Google Ads Data'!E32</f>
        <v>82.997</v>
      </c>
      <c r="H32" s="5">
        <f>('Google Ads Data'!D32/'Google Ads Data'!B32)*1000</f>
        <v>31.19992482</v>
      </c>
    </row>
    <row r="33" ht="15.75" customHeight="1">
      <c r="A33" s="3">
        <v>44958.0</v>
      </c>
      <c r="B33" s="6">
        <f>'Google Ads Data'!C33/'Google Ads Data'!B33</f>
        <v>0.02699679699</v>
      </c>
      <c r="C33" s="6">
        <f>'Google Ads Data'!E33/'Google Ads Data'!C33</f>
        <v>0.02071563089</v>
      </c>
      <c r="D33" s="5">
        <f>'Google Ads Data'!D33/'Google Ads Data'!C33</f>
        <v>1.140131827</v>
      </c>
      <c r="E33" s="5">
        <f>'Google Ads Data'!F33/'Google Ads Data'!E33</f>
        <v>137.8832727</v>
      </c>
      <c r="F33" s="7">
        <f>'Google Ads Data'!F33/'Google Ads Data'!D33</f>
        <v>2.505270808</v>
      </c>
      <c r="G33" s="5">
        <f>'Google Ads Data'!D33/'Google Ads Data'!E33</f>
        <v>55.03727273</v>
      </c>
      <c r="H33" s="5">
        <f>('Google Ads Data'!D33/'Google Ads Data'!B33)*1000</f>
        <v>30.77990747</v>
      </c>
    </row>
    <row r="34" ht="15.75" customHeight="1">
      <c r="A34" s="3">
        <v>44959.0</v>
      </c>
      <c r="B34" s="6">
        <f>'Google Ads Data'!C34/'Google Ads Data'!B34</f>
        <v>0.01287606785</v>
      </c>
      <c r="C34" s="6">
        <f>'Google Ads Data'!E34/'Google Ads Data'!C34</f>
        <v>0.01923076923</v>
      </c>
      <c r="D34" s="5">
        <f>'Google Ads Data'!D34/'Google Ads Data'!C34</f>
        <v>1.823365385</v>
      </c>
      <c r="E34" s="5">
        <f>'Google Ads Data'!F34/'Google Ads Data'!E34</f>
        <v>193.72125</v>
      </c>
      <c r="F34" s="7">
        <f>'Google Ads Data'!F34/'Google Ads Data'!D34</f>
        <v>2.043149818</v>
      </c>
      <c r="G34" s="5">
        <f>'Google Ads Data'!D34/'Google Ads Data'!E34</f>
        <v>94.815</v>
      </c>
      <c r="H34" s="5">
        <f>('Google Ads Data'!D34/'Google Ads Data'!B34)*1000</f>
        <v>23.4777764</v>
      </c>
    </row>
    <row r="35" ht="15.75" customHeight="1">
      <c r="A35" s="3">
        <v>44960.0</v>
      </c>
      <c r="B35" s="6">
        <f>'Google Ads Data'!C35/'Google Ads Data'!B35</f>
        <v>0.02449758529</v>
      </c>
      <c r="C35" s="6">
        <f>'Google Ads Data'!E35/'Google Ads Data'!C35</f>
        <v>0.02384737679</v>
      </c>
      <c r="D35" s="5">
        <f>'Google Ads Data'!D35/'Google Ads Data'!C35</f>
        <v>1.180111288</v>
      </c>
      <c r="E35" s="5">
        <f>'Google Ads Data'!F35/'Google Ads Data'!E35</f>
        <v>155.378</v>
      </c>
      <c r="F35" s="7">
        <f>'Google Ads Data'!F35/'Google Ads Data'!D35</f>
        <v>3.13983753</v>
      </c>
      <c r="G35" s="5">
        <f>'Google Ads Data'!D35/'Google Ads Data'!E35</f>
        <v>49.486</v>
      </c>
      <c r="H35" s="5">
        <f>('Google Ads Data'!D35/'Google Ads Data'!B35)*1000</f>
        <v>28.90987693</v>
      </c>
    </row>
    <row r="36" ht="15.75" customHeight="1">
      <c r="A36" s="3">
        <v>44961.0</v>
      </c>
      <c r="B36" s="6">
        <f>'Google Ads Data'!C36/'Google Ads Data'!B36</f>
        <v>0.02888010168</v>
      </c>
      <c r="C36" s="6">
        <f>'Google Ads Data'!E36/'Google Ads Data'!C36</f>
        <v>0.01711491443</v>
      </c>
      <c r="D36" s="5">
        <f>'Google Ads Data'!D36/'Google Ads Data'!C36</f>
        <v>1.100733496</v>
      </c>
      <c r="E36" s="5">
        <f>'Google Ads Data'!F36/'Google Ads Data'!E36</f>
        <v>141.6114286</v>
      </c>
      <c r="F36" s="7">
        <f>'Google Ads Data'!F36/'Google Ads Data'!D36</f>
        <v>2.201865837</v>
      </c>
      <c r="G36" s="5">
        <f>'Google Ads Data'!D36/'Google Ads Data'!E36</f>
        <v>64.31428571</v>
      </c>
      <c r="H36" s="5">
        <f>('Google Ads Data'!D36/'Google Ads Data'!B36)*1000</f>
        <v>31.7892953</v>
      </c>
    </row>
    <row r="37" ht="15.75" customHeight="1">
      <c r="A37" s="3">
        <v>44962.0</v>
      </c>
      <c r="B37" s="6">
        <f>'Google Ads Data'!C37/'Google Ads Data'!B37</f>
        <v>0.02748701558</v>
      </c>
      <c r="C37" s="6">
        <f>'Google Ads Data'!E37/'Google Ads Data'!C37</f>
        <v>0.01598837209</v>
      </c>
      <c r="D37" s="5">
        <f>'Google Ads Data'!D37/'Google Ads Data'!C37</f>
        <v>1.780838178</v>
      </c>
      <c r="E37" s="5">
        <f>'Google Ads Data'!F37/'Google Ads Data'!E37</f>
        <v>202.1672727</v>
      </c>
      <c r="F37" s="7">
        <f>'Google Ads Data'!F37/'Google Ads Data'!D37</f>
        <v>1.815058561</v>
      </c>
      <c r="G37" s="5">
        <f>'Google Ads Data'!D37/'Google Ads Data'!E37</f>
        <v>111.3833333</v>
      </c>
      <c r="H37" s="5">
        <f>('Google Ads Data'!D37/'Google Ads Data'!B37)*1000</f>
        <v>48.94992675</v>
      </c>
    </row>
    <row r="38" ht="15.75" customHeight="1">
      <c r="A38" s="3">
        <v>44963.0</v>
      </c>
      <c r="B38" s="6">
        <f>'Google Ads Data'!C38/'Google Ads Data'!B38</f>
        <v>0.01109047082</v>
      </c>
      <c r="C38" s="6">
        <f>'Google Ads Data'!E38/'Google Ads Data'!C38</f>
        <v>0.01994017946</v>
      </c>
      <c r="D38" s="5">
        <f>'Google Ads Data'!D38/'Google Ads Data'!C38</f>
        <v>1.391186441</v>
      </c>
      <c r="E38" s="5">
        <f>'Google Ads Data'!F38/'Google Ads Data'!E38</f>
        <v>118.6265</v>
      </c>
      <c r="F38" s="7">
        <f>'Google Ads Data'!F38/'Google Ads Data'!D38</f>
        <v>1.700299564</v>
      </c>
      <c r="G38" s="5">
        <f>'Google Ads Data'!D38/'Google Ads Data'!E38</f>
        <v>69.768</v>
      </c>
      <c r="H38" s="5">
        <f>('Google Ads Data'!D38/'Google Ads Data'!B38)*1000</f>
        <v>15.42891263</v>
      </c>
    </row>
    <row r="39" ht="15.75" customHeight="1">
      <c r="A39" s="3">
        <v>44964.0</v>
      </c>
      <c r="B39" s="6">
        <f>'Google Ads Data'!C39/'Google Ads Data'!B39</f>
        <v>0.02568903361</v>
      </c>
      <c r="C39" s="6">
        <f>'Google Ads Data'!E39/'Google Ads Data'!C39</f>
        <v>0.01765504753</v>
      </c>
      <c r="D39" s="5">
        <f>'Google Ads Data'!D39/'Google Ads Data'!C39</f>
        <v>1.60067904</v>
      </c>
      <c r="E39" s="5">
        <f>'Google Ads Data'!F39/'Google Ads Data'!E39</f>
        <v>160.2605128</v>
      </c>
      <c r="F39" s="7">
        <f>'Google Ads Data'!F39/'Google Ads Data'!D39</f>
        <v>1.767629175</v>
      </c>
      <c r="G39" s="5">
        <f>'Google Ads Data'!D39/'Google Ads Data'!E39</f>
        <v>90.66410256</v>
      </c>
      <c r="H39" s="5">
        <f>('Google Ads Data'!D39/'Google Ads Data'!B39)*1000</f>
        <v>41.11989766</v>
      </c>
    </row>
    <row r="40" ht="15.75" customHeight="1">
      <c r="A40" s="3">
        <v>44965.0</v>
      </c>
      <c r="B40" s="6">
        <f>'Google Ads Data'!C40/'Google Ads Data'!B40</f>
        <v>0.0108945515</v>
      </c>
      <c r="C40" s="6">
        <f>'Google Ads Data'!E40/'Google Ads Data'!C40</f>
        <v>0.01795735129</v>
      </c>
      <c r="D40" s="5">
        <f>'Google Ads Data'!D40/'Google Ads Data'!C40</f>
        <v>1.080538721</v>
      </c>
      <c r="E40" s="5">
        <f>'Google Ads Data'!F40/'Google Ads Data'!E40</f>
        <v>190.596875</v>
      </c>
      <c r="F40" s="7">
        <f>'Google Ads Data'!F40/'Google Ads Data'!D40</f>
        <v>3.167507998</v>
      </c>
      <c r="G40" s="5">
        <f>'Google Ads Data'!D40/'Google Ads Data'!E40</f>
        <v>60.1725</v>
      </c>
      <c r="H40" s="5">
        <f>('Google Ads Data'!D40/'Google Ads Data'!B40)*1000</f>
        <v>11.77198474</v>
      </c>
    </row>
    <row r="41" ht="15.75" customHeight="1">
      <c r="A41" s="3">
        <v>44966.0</v>
      </c>
      <c r="B41" s="6">
        <f>'Google Ads Data'!C41/'Google Ads Data'!B41</f>
        <v>0.02659492169</v>
      </c>
      <c r="C41" s="6">
        <f>'Google Ads Data'!E41/'Google Ads Data'!C41</f>
        <v>0.01422107304</v>
      </c>
      <c r="D41" s="5">
        <f>'Google Ads Data'!D41/'Google Ads Data'!C41</f>
        <v>1.950368455</v>
      </c>
      <c r="E41" s="5">
        <f>'Google Ads Data'!F41/'Google Ads Data'!E41</f>
        <v>119.5072727</v>
      </c>
      <c r="F41" s="7">
        <f>'Google Ads Data'!F41/'Google Ads Data'!D41</f>
        <v>0.8713849172</v>
      </c>
      <c r="G41" s="5">
        <f>'Google Ads Data'!D41/'Google Ads Data'!E41</f>
        <v>137.1463636</v>
      </c>
      <c r="H41" s="5">
        <f>('Google Ads Data'!D41/'Google Ads Data'!B41)*1000</f>
        <v>51.86989634</v>
      </c>
    </row>
    <row r="42" ht="15.75" customHeight="1">
      <c r="A42" s="3">
        <v>44967.0</v>
      </c>
      <c r="B42" s="6">
        <f>'Google Ads Data'!C42/'Google Ads Data'!B42</f>
        <v>0.02819771098</v>
      </c>
      <c r="C42" s="6">
        <f>'Google Ads Data'!E42/'Google Ads Data'!C42</f>
        <v>0.02497769848</v>
      </c>
      <c r="D42" s="5">
        <f>'Google Ads Data'!D42/'Google Ads Data'!C42</f>
        <v>1.110089206</v>
      </c>
      <c r="E42" s="5">
        <f>'Google Ads Data'!F42/'Google Ads Data'!E42</f>
        <v>197.1917857</v>
      </c>
      <c r="F42" s="7">
        <f>'Google Ads Data'!F42/'Google Ads Data'!D42</f>
        <v>4.436937987</v>
      </c>
      <c r="G42" s="5">
        <f>'Google Ads Data'!D42/'Google Ads Data'!E42</f>
        <v>44.44321429</v>
      </c>
      <c r="H42" s="5">
        <f>('Google Ads Data'!D42/'Google Ads Data'!B42)*1000</f>
        <v>31.30197459</v>
      </c>
    </row>
    <row r="43" ht="15.75" customHeight="1">
      <c r="A43" s="3">
        <v>44968.0</v>
      </c>
      <c r="B43" s="6">
        <f>'Google Ads Data'!C43/'Google Ads Data'!B43</f>
        <v>0.02289336411</v>
      </c>
      <c r="C43" s="6">
        <f>'Google Ads Data'!E43/'Google Ads Data'!C43</f>
        <v>0.01559888579</v>
      </c>
      <c r="D43" s="5">
        <f>'Google Ads Data'!D43/'Google Ads Data'!C43</f>
        <v>1.160334262</v>
      </c>
      <c r="E43" s="5">
        <f>'Google Ads Data'!F43/'Google Ads Data'!E43</f>
        <v>199.0717857</v>
      </c>
      <c r="F43" s="7">
        <f>'Google Ads Data'!F43/'Google Ads Data'!D43</f>
        <v>2.67620991</v>
      </c>
      <c r="G43" s="5">
        <f>'Google Ads Data'!D43/'Google Ads Data'!E43</f>
        <v>74.38571429</v>
      </c>
      <c r="H43" s="5">
        <f>('Google Ads Data'!D43/'Google Ads Data'!B43)*1000</f>
        <v>26.56395475</v>
      </c>
    </row>
    <row r="44" ht="15.75" customHeight="1">
      <c r="A44" s="3">
        <v>44969.0</v>
      </c>
      <c r="B44" s="6">
        <f>'Google Ads Data'!C44/'Google Ads Data'!B44</f>
        <v>0.02039398256</v>
      </c>
      <c r="C44" s="6">
        <f>'Google Ads Data'!E44/'Google Ads Data'!C44</f>
        <v>0.01590005679</v>
      </c>
      <c r="D44" s="5">
        <f>'Google Ads Data'!D44/'Google Ads Data'!C44</f>
        <v>1.000289608</v>
      </c>
      <c r="E44" s="5">
        <f>'Google Ads Data'!F44/'Google Ads Data'!E44</f>
        <v>169.2003571</v>
      </c>
      <c r="F44" s="7">
        <f>'Google Ads Data'!F44/'Google Ads Data'!D44</f>
        <v>2.689516381</v>
      </c>
      <c r="G44" s="5">
        <f>'Google Ads Data'!D44/'Google Ads Data'!E44</f>
        <v>62.91107143</v>
      </c>
      <c r="H44" s="5">
        <f>('Google Ads Data'!D44/'Google Ads Data'!B44)*1000</f>
        <v>20.39988882</v>
      </c>
    </row>
    <row r="45" ht="15.75" customHeight="1">
      <c r="A45" s="3">
        <v>44970.0</v>
      </c>
      <c r="B45" s="6">
        <f>'Google Ads Data'!C45/'Google Ads Data'!B45</f>
        <v>0.02046889452</v>
      </c>
      <c r="C45" s="6">
        <f>'Google Ads Data'!E45/'Google Ads Data'!C45</f>
        <v>0.02357563851</v>
      </c>
      <c r="D45" s="5">
        <f>'Google Ads Data'!D45/'Google Ads Data'!C45</f>
        <v>1.502278978</v>
      </c>
      <c r="E45" s="5">
        <f>'Google Ads Data'!F45/'Google Ads Data'!E45</f>
        <v>162.4141667</v>
      </c>
      <c r="F45" s="7">
        <f>'Google Ads Data'!F45/'Google Ads Data'!D45</f>
        <v>2.548806005</v>
      </c>
      <c r="G45" s="5">
        <f>'Google Ads Data'!D45/'Google Ads Data'!E45</f>
        <v>63.72166667</v>
      </c>
      <c r="H45" s="5">
        <f>('Google Ads Data'!D45/'Google Ads Data'!B45)*1000</f>
        <v>30.74998995</v>
      </c>
    </row>
    <row r="46" ht="15.75" customHeight="1">
      <c r="A46" s="3">
        <v>44971.0</v>
      </c>
      <c r="B46" s="6">
        <f>'Google Ads Data'!C46/'Google Ads Data'!B46</f>
        <v>0.01979491458</v>
      </c>
      <c r="C46" s="6">
        <f>'Google Ads Data'!E46/'Google Ads Data'!C46</f>
        <v>0.0205213533</v>
      </c>
      <c r="D46" s="5">
        <f>'Google Ads Data'!D46/'Google Ads Data'!C46</f>
        <v>1.360343871</v>
      </c>
      <c r="E46" s="5">
        <f>'Google Ads Data'!F46/'Google Ads Data'!E46</f>
        <v>188.5740541</v>
      </c>
      <c r="F46" s="7">
        <f>'Google Ads Data'!F46/'Google Ads Data'!D46</f>
        <v>2.844718066</v>
      </c>
      <c r="G46" s="5">
        <f>'Google Ads Data'!D46/'Google Ads Data'!E46</f>
        <v>66.28918919</v>
      </c>
      <c r="H46" s="5">
        <f>('Google Ads Data'!D46/'Google Ads Data'!B46)*1000</f>
        <v>26.92789074</v>
      </c>
    </row>
    <row r="47" ht="15.75" customHeight="1">
      <c r="A47" s="3">
        <v>44972.0</v>
      </c>
      <c r="B47" s="6">
        <f>'Google Ads Data'!C47/'Google Ads Data'!B47</f>
        <v>0.0280937707</v>
      </c>
      <c r="C47" s="6">
        <f>'Google Ads Data'!E47/'Google Ads Data'!C47</f>
        <v>0.01281394157</v>
      </c>
      <c r="D47" s="5">
        <f>'Google Ads Data'!D47/'Google Ads Data'!C47</f>
        <v>1.750384418</v>
      </c>
      <c r="E47" s="5">
        <f>'Google Ads Data'!F47/'Google Ads Data'!E47</f>
        <v>184.6836</v>
      </c>
      <c r="F47" s="7">
        <f>'Google Ads Data'!F47/'Google Ads Data'!D47</f>
        <v>1.352002928</v>
      </c>
      <c r="G47" s="5">
        <f>'Google Ads Data'!D47/'Google Ads Data'!E47</f>
        <v>136.6</v>
      </c>
      <c r="H47" s="5">
        <f>('Google Ads Data'!D47/'Google Ads Data'!B47)*1000</f>
        <v>49.17489848</v>
      </c>
    </row>
    <row r="48" ht="15.75" customHeight="1">
      <c r="A48" s="3">
        <v>44973.0</v>
      </c>
      <c r="B48" s="6">
        <f>'Google Ads Data'!C48/'Google Ads Data'!B48</f>
        <v>0.0135573239</v>
      </c>
      <c r="C48" s="6">
        <f>'Google Ads Data'!E48/'Google Ads Data'!C48</f>
        <v>0.02173913043</v>
      </c>
      <c r="D48" s="5">
        <f>'Google Ads Data'!D48/'Google Ads Data'!C48</f>
        <v>1.905978261</v>
      </c>
      <c r="E48" s="5">
        <f>'Google Ads Data'!F48/'Google Ads Data'!E48</f>
        <v>176.9475</v>
      </c>
      <c r="F48" s="7">
        <f>'Google Ads Data'!F48/'Google Ads Data'!D48</f>
        <v>2.018220701</v>
      </c>
      <c r="G48" s="5">
        <f>'Google Ads Data'!D48/'Google Ads Data'!E48</f>
        <v>87.675</v>
      </c>
      <c r="H48" s="5">
        <f>('Google Ads Data'!D48/'Google Ads Data'!B48)*1000</f>
        <v>25.83996463</v>
      </c>
    </row>
    <row r="49" ht="15.75" customHeight="1">
      <c r="A49" s="3">
        <v>44974.0</v>
      </c>
      <c r="B49" s="6">
        <f>'Google Ads Data'!C49/'Google Ads Data'!B49</f>
        <v>0.01682362622</v>
      </c>
      <c r="C49" s="6">
        <f>'Google Ads Data'!E49/'Google Ads Data'!C49</f>
        <v>0.01630434783</v>
      </c>
      <c r="D49" s="5">
        <f>'Google Ads Data'!D49/'Google Ads Data'!C49</f>
        <v>1.928695652</v>
      </c>
      <c r="E49" s="5">
        <f>'Google Ads Data'!F49/'Google Ads Data'!E49</f>
        <v>243.1</v>
      </c>
      <c r="F49" s="7">
        <f>'Google Ads Data'!F49/'Google Ads Data'!D49</f>
        <v>2.055060866</v>
      </c>
      <c r="G49" s="5">
        <f>'Google Ads Data'!D49/'Google Ads Data'!E49</f>
        <v>118.2933333</v>
      </c>
      <c r="H49" s="5">
        <f>('Google Ads Data'!D49/'Google Ads Data'!B49)*1000</f>
        <v>32.44765475</v>
      </c>
    </row>
    <row r="50" ht="15.75" customHeight="1">
      <c r="A50" s="3">
        <v>44975.0</v>
      </c>
      <c r="B50" s="6">
        <f>'Google Ads Data'!C50/'Google Ads Data'!B50</f>
        <v>0.01358079702</v>
      </c>
      <c r="C50" s="6">
        <f>'Google Ads Data'!E50/'Google Ads Data'!C50</f>
        <v>0.01283880171</v>
      </c>
      <c r="D50" s="5">
        <f>'Google Ads Data'!D50/'Google Ads Data'!C50</f>
        <v>1.992810271</v>
      </c>
      <c r="E50" s="5">
        <f>'Google Ads Data'!F50/'Google Ads Data'!E50</f>
        <v>199.8333333</v>
      </c>
      <c r="F50" s="7">
        <f>'Google Ads Data'!F50/'Google Ads Data'!D50</f>
        <v>1.287438438</v>
      </c>
      <c r="G50" s="5">
        <f>'Google Ads Data'!D50/'Google Ads Data'!E50</f>
        <v>155.2177778</v>
      </c>
      <c r="H50" s="5">
        <f>('Google Ads Data'!D50/'Google Ads Data'!B50)*1000</f>
        <v>27.0639518</v>
      </c>
    </row>
    <row r="51" ht="15.75" customHeight="1">
      <c r="A51" s="3">
        <v>44976.0</v>
      </c>
      <c r="B51" s="6">
        <f>'Google Ads Data'!C51/'Google Ads Data'!B51</f>
        <v>0.02226406735</v>
      </c>
      <c r="C51" s="6">
        <f>'Google Ads Data'!E51/'Google Ads Data'!C51</f>
        <v>0.01824212272</v>
      </c>
      <c r="D51" s="5">
        <f>'Google Ads Data'!D51/'Google Ads Data'!C51</f>
        <v>1.963150912</v>
      </c>
      <c r="E51" s="5">
        <f>'Google Ads Data'!F51/'Google Ads Data'!E51</f>
        <v>123.3090909</v>
      </c>
      <c r="F51" s="7">
        <f>'Google Ads Data'!F51/'Google Ads Data'!D51</f>
        <v>1.145821014</v>
      </c>
      <c r="G51" s="5">
        <f>'Google Ads Data'!D51/'Google Ads Data'!E51</f>
        <v>107.6163636</v>
      </c>
      <c r="H51" s="5">
        <f>('Google Ads Data'!D51/'Google Ads Data'!B51)*1000</f>
        <v>43.70772412</v>
      </c>
    </row>
    <row r="52" ht="15.75" customHeight="1">
      <c r="A52" s="3">
        <v>44977.0</v>
      </c>
      <c r="B52" s="6">
        <f>'Google Ads Data'!C52/'Google Ads Data'!B52</f>
        <v>0.01499969338</v>
      </c>
      <c r="C52" s="6">
        <f>'Google Ads Data'!E52/'Google Ads Data'!C52</f>
        <v>0.02289452167</v>
      </c>
      <c r="D52" s="5">
        <f>'Google Ads Data'!D52/'Google Ads Data'!C52</f>
        <v>1.740032706</v>
      </c>
      <c r="E52" s="5">
        <f>'Google Ads Data'!F52/'Google Ads Data'!E52</f>
        <v>158.4253571</v>
      </c>
      <c r="F52" s="7">
        <f>'Google Ads Data'!F52/'Google Ads Data'!D52</f>
        <v>2.0844854</v>
      </c>
      <c r="G52" s="5">
        <f>'Google Ads Data'!D52/'Google Ads Data'!E52</f>
        <v>76.00214286</v>
      </c>
      <c r="H52" s="5">
        <f>('Google Ads Data'!D52/'Google Ads Data'!B52)*1000</f>
        <v>26.09995707</v>
      </c>
    </row>
    <row r="53" ht="15.75" customHeight="1">
      <c r="A53" s="3">
        <v>44978.0</v>
      </c>
      <c r="B53" s="6">
        <f>'Google Ads Data'!C53/'Google Ads Data'!B53</f>
        <v>0.01108987921</v>
      </c>
      <c r="C53" s="6">
        <f>'Google Ads Data'!E53/'Google Ads Data'!C53</f>
        <v>0.01435897436</v>
      </c>
      <c r="D53" s="5">
        <f>'Google Ads Data'!D53/'Google Ads Data'!C53</f>
        <v>1.621476923</v>
      </c>
      <c r="E53" s="5">
        <f>'Google Ads Data'!F53/'Google Ads Data'!E53</f>
        <v>108.8957143</v>
      </c>
      <c r="F53" s="7">
        <f>'Google Ads Data'!F53/'Google Ads Data'!D53</f>
        <v>0.9643250218</v>
      </c>
      <c r="G53" s="5">
        <f>'Google Ads Data'!D53/'Google Ads Data'!E53</f>
        <v>112.9242857</v>
      </c>
      <c r="H53" s="5">
        <f>('Google Ads Data'!D53/'Google Ads Data'!B53)*1000</f>
        <v>17.98198321</v>
      </c>
    </row>
    <row r="54" ht="15.75" customHeight="1">
      <c r="A54" s="3">
        <v>44979.0</v>
      </c>
      <c r="B54" s="6">
        <f>'Google Ads Data'!C54/'Google Ads Data'!B54</f>
        <v>0.0134904271</v>
      </c>
      <c r="C54" s="6">
        <f>'Google Ads Data'!E54/'Google Ads Data'!C54</f>
        <v>0.01637554585</v>
      </c>
      <c r="D54" s="5">
        <f>'Google Ads Data'!D54/'Google Ads Data'!C54</f>
        <v>1.71121179</v>
      </c>
      <c r="E54" s="5">
        <f>'Google Ads Data'!F54/'Google Ads Data'!E54</f>
        <v>148.222</v>
      </c>
      <c r="F54" s="7">
        <f>'Google Ads Data'!F54/'Google Ads Data'!D54</f>
        <v>1.418419491</v>
      </c>
      <c r="G54" s="5">
        <f>'Google Ads Data'!D54/'Google Ads Data'!E54</f>
        <v>104.498</v>
      </c>
      <c r="H54" s="5">
        <f>('Google Ads Data'!D54/'Google Ads Data'!B54)*1000</f>
        <v>23.08497791</v>
      </c>
    </row>
    <row r="55" ht="15.75" customHeight="1">
      <c r="A55" s="3">
        <v>44980.0</v>
      </c>
      <c r="B55" s="6">
        <f>'Google Ads Data'!C55/'Google Ads Data'!B55</f>
        <v>0.0109907984</v>
      </c>
      <c r="C55" s="6">
        <f>'Google Ads Data'!E55/'Google Ads Data'!C55</f>
        <v>0.02431289641</v>
      </c>
      <c r="D55" s="5">
        <f>'Google Ads Data'!D55/'Google Ads Data'!C55</f>
        <v>1.591321353</v>
      </c>
      <c r="E55" s="5">
        <f>'Google Ads Data'!F55/'Google Ads Data'!E55</f>
        <v>191.676087</v>
      </c>
      <c r="F55" s="7">
        <f>'Google Ads Data'!F55/'Google Ads Data'!D55</f>
        <v>2.92851022</v>
      </c>
      <c r="G55" s="5">
        <f>'Google Ads Data'!D55/'Google Ads Data'!E55</f>
        <v>65.45173913</v>
      </c>
      <c r="H55" s="5">
        <f>('Google Ads Data'!D55/'Google Ads Data'!B55)*1000</f>
        <v>17.48989218</v>
      </c>
    </row>
    <row r="56" ht="15.75" customHeight="1">
      <c r="A56" s="3">
        <v>44981.0</v>
      </c>
      <c r="B56" s="6">
        <f>'Google Ads Data'!C56/'Google Ads Data'!B56</f>
        <v>0.0269529721</v>
      </c>
      <c r="C56" s="6">
        <f>'Google Ads Data'!E56/'Google Ads Data'!C56</f>
        <v>0.01244813278</v>
      </c>
      <c r="D56" s="5">
        <f>'Google Ads Data'!D56/'Google Ads Data'!C56</f>
        <v>1.302261411</v>
      </c>
      <c r="E56" s="5">
        <f>'Google Ads Data'!F56/'Google Ads Data'!E56</f>
        <v>115.23</v>
      </c>
      <c r="F56" s="7">
        <f>'Google Ads Data'!F56/'Google Ads Data'!D56</f>
        <v>1.101467285</v>
      </c>
      <c r="G56" s="5">
        <f>'Google Ads Data'!D56/'Google Ads Data'!E56</f>
        <v>104.615</v>
      </c>
      <c r="H56" s="5">
        <f>('Google Ads Data'!D56/'Google Ads Data'!B56)*1000</f>
        <v>35.09981547</v>
      </c>
    </row>
    <row r="57" ht="15.75" customHeight="1">
      <c r="A57" s="3">
        <v>44982.0</v>
      </c>
      <c r="B57" s="6">
        <f>'Google Ads Data'!C57/'Google Ads Data'!B57</f>
        <v>0.01559444069</v>
      </c>
      <c r="C57" s="6">
        <f>'Google Ads Data'!E57/'Google Ads Data'!C57</f>
        <v>0.01775804661</v>
      </c>
      <c r="D57" s="5">
        <f>'Google Ads Data'!D57/'Google Ads Data'!C57</f>
        <v>1.140399556</v>
      </c>
      <c r="E57" s="5">
        <f>'Google Ads Data'!F57/'Google Ads Data'!E57</f>
        <v>119.650625</v>
      </c>
      <c r="F57" s="7">
        <f>'Google Ads Data'!F57/'Google Ads Data'!D57</f>
        <v>1.863172749</v>
      </c>
      <c r="G57" s="5">
        <f>'Google Ads Data'!D57/'Google Ads Data'!E57</f>
        <v>64.21875</v>
      </c>
      <c r="H57" s="5">
        <f>('Google Ads Data'!D57/'Google Ads Data'!B57)*1000</f>
        <v>17.78389324</v>
      </c>
    </row>
    <row r="58" ht="15.75" customHeight="1">
      <c r="A58" s="3">
        <v>44983.0</v>
      </c>
      <c r="B58" s="6">
        <f>'Google Ads Data'!C58/'Google Ads Data'!B58</f>
        <v>0.02639637433</v>
      </c>
      <c r="C58" s="6">
        <f>'Google Ads Data'!E58/'Google Ads Data'!C58</f>
        <v>0.0162412993</v>
      </c>
      <c r="D58" s="5">
        <f>'Google Ads Data'!D58/'Google Ads Data'!C58</f>
        <v>1.370185615</v>
      </c>
      <c r="E58" s="5">
        <f>'Google Ads Data'!F58/'Google Ads Data'!E58</f>
        <v>162.5954286</v>
      </c>
      <c r="F58" s="7">
        <f>'Google Ads Data'!F58/'Google Ads Data'!D58</f>
        <v>1.927301668</v>
      </c>
      <c r="G58" s="5">
        <f>'Google Ads Data'!D58/'Google Ads Data'!E58</f>
        <v>84.36428571</v>
      </c>
      <c r="H58" s="5">
        <f>('Google Ads Data'!D58/'Google Ads Data'!B58)*1000</f>
        <v>36.16793239</v>
      </c>
    </row>
    <row r="59" ht="15.75" customHeight="1">
      <c r="A59" s="3">
        <v>44984.0</v>
      </c>
      <c r="B59" s="6">
        <f>'Google Ads Data'!C59/'Google Ads Data'!B59</f>
        <v>0.02877922541</v>
      </c>
      <c r="C59" s="6">
        <f>'Google Ads Data'!E59/'Google Ads Data'!C59</f>
        <v>0.01240310078</v>
      </c>
      <c r="D59" s="5">
        <f>'Google Ads Data'!D59/'Google Ads Data'!C59</f>
        <v>1.741255814</v>
      </c>
      <c r="E59" s="5">
        <f>'Google Ads Data'!F59/'Google Ads Data'!E59</f>
        <v>201.385</v>
      </c>
      <c r="F59" s="7">
        <f>'Google Ads Data'!F59/'Google Ads Data'!D59</f>
        <v>1.434481039</v>
      </c>
      <c r="G59" s="5">
        <f>'Google Ads Data'!D59/'Google Ads Data'!E59</f>
        <v>140.38875</v>
      </c>
      <c r="H59" s="5">
        <f>('Google Ads Data'!D59/'Google Ads Data'!B59)*1000</f>
        <v>50.11199357</v>
      </c>
    </row>
    <row r="60" ht="15.75" customHeight="1">
      <c r="A60" s="3">
        <v>44985.0</v>
      </c>
      <c r="B60" s="6">
        <f>'Google Ads Data'!C60/'Google Ads Data'!B60</f>
        <v>0.01127042347</v>
      </c>
      <c r="C60" s="6">
        <f>'Google Ads Data'!E60/'Google Ads Data'!C60</f>
        <v>0.01183431953</v>
      </c>
      <c r="D60" s="5">
        <f>'Google Ads Data'!D60/'Google Ads Data'!C60</f>
        <v>1.634260355</v>
      </c>
      <c r="E60" s="5">
        <f>'Google Ads Data'!F60/'Google Ads Data'!E60</f>
        <v>190.54</v>
      </c>
      <c r="F60" s="7">
        <f>'Google Ads Data'!F60/'Google Ads Data'!D60</f>
        <v>1.379774793</v>
      </c>
      <c r="G60" s="5">
        <f>'Google Ads Data'!D60/'Google Ads Data'!E60</f>
        <v>138.095</v>
      </c>
      <c r="H60" s="5">
        <f>('Google Ads Data'!D60/'Google Ads Data'!B60)*1000</f>
        <v>18.41880627</v>
      </c>
    </row>
    <row r="61" ht="15.75" customHeight="1">
      <c r="A61" s="3">
        <v>44986.0</v>
      </c>
      <c r="B61" s="6">
        <f>'Google Ads Data'!C61/'Google Ads Data'!B61</f>
        <v>0.01939139931</v>
      </c>
      <c r="C61" s="6">
        <f>'Google Ads Data'!E61/'Google Ads Data'!C61</f>
        <v>0.02207001522</v>
      </c>
      <c r="D61" s="5">
        <f>'Google Ads Data'!D61/'Google Ads Data'!C61</f>
        <v>1.300570776</v>
      </c>
      <c r="E61" s="5">
        <f>'Google Ads Data'!F61/'Google Ads Data'!E61</f>
        <v>151.9296552</v>
      </c>
      <c r="F61" s="7">
        <f>'Google Ads Data'!F61/'Google Ads Data'!D61</f>
        <v>2.578167881</v>
      </c>
      <c r="G61" s="5">
        <f>'Google Ads Data'!D61/'Google Ads Data'!E61</f>
        <v>58.92931034</v>
      </c>
      <c r="H61" s="5">
        <f>('Google Ads Data'!D61/'Google Ads Data'!B61)*1000</f>
        <v>25.21988725</v>
      </c>
    </row>
    <row r="62" ht="15.75" customHeight="1">
      <c r="A62" s="3">
        <v>44987.0</v>
      </c>
      <c r="B62" s="6">
        <f>'Google Ads Data'!C62/'Google Ads Data'!B62</f>
        <v>0.0279896574</v>
      </c>
      <c r="C62" s="6">
        <f>'Google Ads Data'!E62/'Google Ads Data'!C62</f>
        <v>0.01770592764</v>
      </c>
      <c r="D62" s="5">
        <f>'Google Ads Data'!D62/'Google Ads Data'!C62</f>
        <v>1.590585065</v>
      </c>
      <c r="E62" s="5">
        <f>'Google Ads Data'!F62/'Google Ads Data'!E62</f>
        <v>160.6834783</v>
      </c>
      <c r="F62" s="7">
        <f>'Google Ads Data'!F62/'Google Ads Data'!D62</f>
        <v>1.788681473</v>
      </c>
      <c r="G62" s="5">
        <f>'Google Ads Data'!D62/'Google Ads Data'!E62</f>
        <v>89.83347826</v>
      </c>
      <c r="H62" s="5">
        <f>('Google Ads Data'!D62/'Google Ads Data'!B62)*1000</f>
        <v>44.51993105</v>
      </c>
    </row>
    <row r="63" ht="15.75" customHeight="1">
      <c r="A63" s="3">
        <v>44988.0</v>
      </c>
      <c r="B63" s="6">
        <f>'Google Ads Data'!C63/'Google Ads Data'!B63</f>
        <v>0.02587345693</v>
      </c>
      <c r="C63" s="6">
        <f>'Google Ads Data'!E63/'Google Ads Data'!C63</f>
        <v>0.02288732394</v>
      </c>
      <c r="D63" s="5">
        <f>'Google Ads Data'!D63/'Google Ads Data'!C63</f>
        <v>1.22125</v>
      </c>
      <c r="E63" s="5">
        <f>'Google Ads Data'!F63/'Google Ads Data'!E63</f>
        <v>188.2884615</v>
      </c>
      <c r="F63" s="7">
        <f>'Google Ads Data'!F63/'Google Ads Data'!D63</f>
        <v>3.528695201</v>
      </c>
      <c r="G63" s="5">
        <f>'Google Ads Data'!D63/'Google Ads Data'!E63</f>
        <v>53.35923077</v>
      </c>
      <c r="H63" s="5">
        <f>('Google Ads Data'!D63/'Google Ads Data'!B63)*1000</f>
        <v>31.59795928</v>
      </c>
    </row>
    <row r="64" ht="15.75" customHeight="1">
      <c r="A64" s="3">
        <v>44989.0</v>
      </c>
      <c r="B64" s="6">
        <f>'Google Ads Data'!C64/'Google Ads Data'!B64</f>
        <v>0.01527081842</v>
      </c>
      <c r="C64" s="6">
        <f>'Google Ads Data'!E64/'Google Ads Data'!C64</f>
        <v>0.01953125</v>
      </c>
      <c r="D64" s="5">
        <f>'Google Ads Data'!D64/'Google Ads Data'!C64</f>
        <v>1.593027344</v>
      </c>
      <c r="E64" s="5">
        <f>'Google Ads Data'!F64/'Google Ads Data'!E64</f>
        <v>204.678</v>
      </c>
      <c r="F64" s="7">
        <f>'Google Ads Data'!F64/'Google Ads Data'!D64</f>
        <v>2.509446685</v>
      </c>
      <c r="G64" s="5">
        <f>'Google Ads Data'!D64/'Google Ads Data'!E64</f>
        <v>81.563</v>
      </c>
      <c r="H64" s="5">
        <f>('Google Ads Data'!D64/'Google Ads Data'!B64)*1000</f>
        <v>24.32683131</v>
      </c>
    </row>
    <row r="65" ht="15.75" customHeight="1">
      <c r="A65" s="3">
        <v>44990.0</v>
      </c>
      <c r="B65" s="6">
        <f>'Google Ads Data'!C65/'Google Ads Data'!B65</f>
        <v>0.02389752973</v>
      </c>
      <c r="C65" s="6">
        <f>'Google Ads Data'!E65/'Google Ads Data'!C65</f>
        <v>0.02297090352</v>
      </c>
      <c r="D65" s="5">
        <f>'Google Ads Data'!D65/'Google Ads Data'!C65</f>
        <v>1.76017611</v>
      </c>
      <c r="E65" s="5">
        <f>'Google Ads Data'!F65/'Google Ads Data'!E65</f>
        <v>110.573</v>
      </c>
      <c r="F65" s="7">
        <f>'Google Ads Data'!F65/'Google Ads Data'!D65</f>
        <v>1.443015673</v>
      </c>
      <c r="G65" s="5">
        <f>'Google Ads Data'!D65/'Google Ads Data'!E65</f>
        <v>76.62633333</v>
      </c>
      <c r="H65" s="5">
        <f>('Google Ads Data'!D65/'Google Ads Data'!B65)*1000</f>
        <v>42.06386093</v>
      </c>
    </row>
    <row r="66" ht="15.75" customHeight="1">
      <c r="A66" s="3">
        <v>44991.0</v>
      </c>
      <c r="B66" s="6">
        <f>'Google Ads Data'!C66/'Google Ads Data'!B66</f>
        <v>0.0222981689</v>
      </c>
      <c r="C66" s="6">
        <f>'Google Ads Data'!E66/'Google Ads Data'!C66</f>
        <v>0.01502629602</v>
      </c>
      <c r="D66" s="5">
        <f>'Google Ads Data'!D66/'Google Ads Data'!C66</f>
        <v>1.220097671</v>
      </c>
      <c r="E66" s="5">
        <f>'Google Ads Data'!F66/'Google Ads Data'!E66</f>
        <v>201.317</v>
      </c>
      <c r="F66" s="7">
        <f>'Google Ads Data'!F66/'Google Ads Data'!D66</f>
        <v>2.479349734</v>
      </c>
      <c r="G66" s="5">
        <f>'Google Ads Data'!D66/'Google Ads Data'!E66</f>
        <v>81.1975</v>
      </c>
      <c r="H66" s="5">
        <f>('Google Ads Data'!D66/'Google Ads Data'!B66)*1000</f>
        <v>27.20594394</v>
      </c>
    </row>
    <row r="67" ht="15.75" customHeight="1">
      <c r="A67" s="3">
        <v>44992.0</v>
      </c>
      <c r="B67" s="6">
        <f>'Google Ads Data'!C67/'Google Ads Data'!B67</f>
        <v>0.02367147827</v>
      </c>
      <c r="C67" s="6">
        <f>'Google Ads Data'!E67/'Google Ads Data'!C67</f>
        <v>0.01689189189</v>
      </c>
      <c r="D67" s="5">
        <f>'Google Ads Data'!D67/'Google Ads Data'!C67</f>
        <v>1.031233108</v>
      </c>
      <c r="E67" s="5">
        <f>'Google Ads Data'!F67/'Google Ads Data'!E67</f>
        <v>113.09</v>
      </c>
      <c r="F67" s="7">
        <f>'Google Ads Data'!F67/'Google Ads Data'!D67</f>
        <v>1.852446396</v>
      </c>
      <c r="G67" s="5">
        <f>'Google Ads Data'!D67/'Google Ads Data'!E67</f>
        <v>61.049</v>
      </c>
      <c r="H67" s="5">
        <f>('Google Ads Data'!D67/'Google Ads Data'!B67)*1000</f>
        <v>24.41081211</v>
      </c>
    </row>
    <row r="68" ht="15.75" customHeight="1">
      <c r="A68" s="3">
        <v>44993.0</v>
      </c>
      <c r="B68" s="6">
        <f>'Google Ads Data'!C68/'Google Ads Data'!B68</f>
        <v>0.02459666427</v>
      </c>
      <c r="C68" s="6">
        <f>'Google Ads Data'!E68/'Google Ads Data'!C68</f>
        <v>0.02367758186</v>
      </c>
      <c r="D68" s="5">
        <f>'Google Ads Data'!D68/'Google Ads Data'!C68</f>
        <v>1.060141058</v>
      </c>
      <c r="E68" s="5">
        <f>'Google Ads Data'!F68/'Google Ads Data'!E68</f>
        <v>103.5465957</v>
      </c>
      <c r="F68" s="7">
        <f>'Google Ads Data'!F68/'Google Ads Data'!D68</f>
        <v>2.312647906</v>
      </c>
      <c r="G68" s="5">
        <f>'Google Ads Data'!D68/'Google Ads Data'!E68</f>
        <v>44.77404255</v>
      </c>
      <c r="H68" s="5">
        <f>('Google Ads Data'!D68/'Google Ads Data'!B68)*1000</f>
        <v>26.07593368</v>
      </c>
    </row>
    <row r="69" ht="15.75" customHeight="1">
      <c r="A69" s="3">
        <v>44994.0</v>
      </c>
      <c r="B69" s="6">
        <f>'Google Ads Data'!C69/'Google Ads Data'!B69</f>
        <v>0.02869914574</v>
      </c>
      <c r="C69" s="6">
        <f>'Google Ads Data'!E69/'Google Ads Data'!C69</f>
        <v>0.02245580506</v>
      </c>
      <c r="D69" s="5">
        <f>'Google Ads Data'!D69/'Google Ads Data'!C69</f>
        <v>1.340038223</v>
      </c>
      <c r="E69" s="5">
        <f>'Google Ads Data'!F69/'Google Ads Data'!E69</f>
        <v>147.5921277</v>
      </c>
      <c r="F69" s="7">
        <f>'Google Ads Data'!F69/'Google Ads Data'!D69</f>
        <v>2.473287696</v>
      </c>
      <c r="G69" s="5">
        <f>'Google Ads Data'!D69/'Google Ads Data'!E69</f>
        <v>59.67446809</v>
      </c>
      <c r="H69" s="5">
        <f>('Google Ads Data'!D69/'Google Ads Data'!B69)*1000</f>
        <v>38.45795225</v>
      </c>
    </row>
    <row r="70" ht="15.75" customHeight="1">
      <c r="A70" s="3">
        <v>44995.0</v>
      </c>
      <c r="B70" s="6">
        <f>'Google Ads Data'!C70/'Google Ads Data'!B70</f>
        <v>0.0235907864</v>
      </c>
      <c r="C70" s="6">
        <f>'Google Ads Data'!E70/'Google Ads Data'!C70</f>
        <v>0.02001026167</v>
      </c>
      <c r="D70" s="5">
        <f>'Google Ads Data'!D70/'Google Ads Data'!C70</f>
        <v>1.530595177</v>
      </c>
      <c r="E70" s="5">
        <f>'Google Ads Data'!F70/'Google Ads Data'!E70</f>
        <v>189.7817949</v>
      </c>
      <c r="F70" s="7">
        <f>'Google Ads Data'!F70/'Google Ads Data'!D70</f>
        <v>2.481115473</v>
      </c>
      <c r="G70" s="5">
        <f>'Google Ads Data'!D70/'Google Ads Data'!E70</f>
        <v>76.49051282</v>
      </c>
      <c r="H70" s="5">
        <f>('Google Ads Data'!D70/'Google Ads Data'!B70)*1000</f>
        <v>36.10794389</v>
      </c>
    </row>
    <row r="71" ht="15.75" customHeight="1">
      <c r="A71" s="3">
        <v>44996.0</v>
      </c>
      <c r="B71" s="6">
        <f>'Google Ads Data'!C71/'Google Ads Data'!B71</f>
        <v>0.02498241752</v>
      </c>
      <c r="C71" s="6">
        <f>'Google Ads Data'!E71/'Google Ads Data'!C71</f>
        <v>0.01223990208</v>
      </c>
      <c r="D71" s="5">
        <f>'Google Ads Data'!D71/'Google Ads Data'!C71</f>
        <v>1.180820073</v>
      </c>
      <c r="E71" s="5">
        <f>'Google Ads Data'!F71/'Google Ads Data'!E71</f>
        <v>189.53</v>
      </c>
      <c r="F71" s="7">
        <f>'Google Ads Data'!F71/'Google Ads Data'!D71</f>
        <v>1.964591129</v>
      </c>
      <c r="G71" s="5">
        <f>'Google Ads Data'!D71/'Google Ads Data'!E71</f>
        <v>96.473</v>
      </c>
      <c r="H71" s="5">
        <f>('Google Ads Data'!D71/'Google Ads Data'!B71)*1000</f>
        <v>29.49974009</v>
      </c>
    </row>
    <row r="72" ht="15.75" customHeight="1">
      <c r="A72" s="3">
        <v>44997.0</v>
      </c>
      <c r="B72" s="6">
        <f>'Google Ads Data'!C72/'Google Ads Data'!B72</f>
        <v>0.01669579566</v>
      </c>
      <c r="C72" s="6">
        <f>'Google Ads Data'!E72/'Google Ads Data'!C72</f>
        <v>0.01755526658</v>
      </c>
      <c r="D72" s="5">
        <f>'Google Ads Data'!D72/'Google Ads Data'!C72</f>
        <v>1.360338101</v>
      </c>
      <c r="E72" s="5">
        <f>'Google Ads Data'!F72/'Google Ads Data'!E72</f>
        <v>183.5125926</v>
      </c>
      <c r="F72" s="7">
        <f>'Google Ads Data'!F72/'Google Ads Data'!D72</f>
        <v>2.368243954</v>
      </c>
      <c r="G72" s="5">
        <f>'Google Ads Data'!D72/'Google Ads Data'!E72</f>
        <v>77.48888889</v>
      </c>
      <c r="H72" s="5">
        <f>('Google Ads Data'!D72/'Google Ads Data'!B72)*1000</f>
        <v>22.71192696</v>
      </c>
    </row>
    <row r="73" ht="15.75" customHeight="1">
      <c r="A73" s="3">
        <v>44998.0</v>
      </c>
      <c r="B73" s="6">
        <f>'Google Ads Data'!C73/'Google Ads Data'!B73</f>
        <v>0.01957831325</v>
      </c>
      <c r="C73" s="6">
        <f>'Google Ads Data'!E73/'Google Ads Data'!C73</f>
        <v>0.01972386588</v>
      </c>
      <c r="D73" s="5">
        <f>'Google Ads Data'!D73/'Google Ads Data'!C73</f>
        <v>1.371499014</v>
      </c>
      <c r="E73" s="5">
        <f>'Google Ads Data'!F73/'Google Ads Data'!E73</f>
        <v>128.545</v>
      </c>
      <c r="F73" s="7">
        <f>'Google Ads Data'!F73/'Google Ads Data'!D73</f>
        <v>1.848637377</v>
      </c>
      <c r="G73" s="5">
        <f>'Google Ads Data'!D73/'Google Ads Data'!E73</f>
        <v>69.535</v>
      </c>
      <c r="H73" s="5">
        <f>('Google Ads Data'!D73/'Google Ads Data'!B73)*1000</f>
        <v>26.85163732</v>
      </c>
    </row>
    <row r="74" ht="15.75" customHeight="1">
      <c r="A74" s="3">
        <v>44999.0</v>
      </c>
      <c r="B74" s="6">
        <f>'Google Ads Data'!C74/'Google Ads Data'!B74</f>
        <v>0.01048603267</v>
      </c>
      <c r="C74" s="6">
        <f>'Google Ads Data'!E74/'Google Ads Data'!C74</f>
        <v>0.01286173633</v>
      </c>
      <c r="D74" s="5">
        <f>'Google Ads Data'!D74/'Google Ads Data'!C74</f>
        <v>1.882491961</v>
      </c>
      <c r="E74" s="5">
        <f>'Google Ads Data'!F74/'Google Ads Data'!E74</f>
        <v>124.44125</v>
      </c>
      <c r="F74" s="7">
        <f>'Google Ads Data'!F74/'Google Ads Data'!D74</f>
        <v>0.8502190604</v>
      </c>
      <c r="G74" s="5">
        <f>'Google Ads Data'!D74/'Google Ads Data'!E74</f>
        <v>146.36375</v>
      </c>
      <c r="H74" s="5">
        <f>('Google Ads Data'!D74/'Google Ads Data'!B74)*1000</f>
        <v>19.73987221</v>
      </c>
    </row>
    <row r="75" ht="15.75" customHeight="1">
      <c r="A75" s="3">
        <v>45000.0</v>
      </c>
      <c r="B75" s="6">
        <f>'Google Ads Data'!C75/'Google Ads Data'!B75</f>
        <v>0.01257784833</v>
      </c>
      <c r="C75" s="6">
        <f>'Google Ads Data'!E75/'Google Ads Data'!C75</f>
        <v>0.01618122977</v>
      </c>
      <c r="D75" s="5">
        <f>'Google Ads Data'!D75/'Google Ads Data'!C75</f>
        <v>1.031812298</v>
      </c>
      <c r="E75" s="5">
        <f>'Google Ads Data'!F75/'Google Ads Data'!E75</f>
        <v>191.892</v>
      </c>
      <c r="F75" s="7">
        <f>'Google Ads Data'!F75/'Google Ads Data'!D75</f>
        <v>3.009315309</v>
      </c>
      <c r="G75" s="5">
        <f>'Google Ads Data'!D75/'Google Ads Data'!E75</f>
        <v>63.766</v>
      </c>
      <c r="H75" s="5">
        <f>('Google Ads Data'!D75/'Google Ads Data'!B75)*1000</f>
        <v>12.97797859</v>
      </c>
    </row>
    <row r="76" ht="15.75" customHeight="1">
      <c r="A76" s="3">
        <v>45001.0</v>
      </c>
      <c r="B76" s="6">
        <f>'Google Ads Data'!C76/'Google Ads Data'!B76</f>
        <v>0.02038854396</v>
      </c>
      <c r="C76" s="6">
        <f>'Google Ads Data'!E76/'Google Ads Data'!C76</f>
        <v>0.01768172888</v>
      </c>
      <c r="D76" s="5">
        <f>'Google Ads Data'!D76/'Google Ads Data'!C76</f>
        <v>1.690943026</v>
      </c>
      <c r="E76" s="5">
        <f>'Google Ads Data'!F76/'Google Ads Data'!E76</f>
        <v>114.5666667</v>
      </c>
      <c r="F76" s="7">
        <f>'Google Ads Data'!F76/'Google Ads Data'!D76</f>
        <v>1.197992308</v>
      </c>
      <c r="G76" s="5">
        <f>'Google Ads Data'!D76/'Google Ads Data'!E76</f>
        <v>95.63222222</v>
      </c>
      <c r="H76" s="5">
        <f>('Google Ads Data'!D76/'Google Ads Data'!B76)*1000</f>
        <v>34.47586621</v>
      </c>
    </row>
    <row r="77" ht="15.75" customHeight="1">
      <c r="A77" s="3">
        <v>45002.0</v>
      </c>
      <c r="B77" s="6">
        <f>'Google Ads Data'!C77/'Google Ads Data'!B77</f>
        <v>0.02818928462</v>
      </c>
      <c r="C77" s="6">
        <f>'Google Ads Data'!E77/'Google Ads Data'!C77</f>
        <v>0.02450646698</v>
      </c>
      <c r="D77" s="5">
        <f>'Google Ads Data'!D77/'Google Ads Data'!C77</f>
        <v>1.750660313</v>
      </c>
      <c r="E77" s="5">
        <f>'Google Ads Data'!F77/'Google Ads Data'!E77</f>
        <v>193.0225</v>
      </c>
      <c r="F77" s="7">
        <f>'Google Ads Data'!F77/'Google Ads Data'!D77</f>
        <v>2.702008772</v>
      </c>
      <c r="G77" s="5">
        <f>'Google Ads Data'!D77/'Google Ads Data'!E77</f>
        <v>71.43666667</v>
      </c>
      <c r="H77" s="5">
        <f>('Google Ads Data'!D77/'Google Ads Data'!B77)*1000</f>
        <v>49.34986184</v>
      </c>
    </row>
    <row r="78" ht="15.75" customHeight="1">
      <c r="A78" s="3">
        <v>45003.0</v>
      </c>
      <c r="B78" s="6">
        <f>'Google Ads Data'!C78/'Google Ads Data'!B78</f>
        <v>0.01718850664</v>
      </c>
      <c r="C78" s="6">
        <f>'Google Ads Data'!E78/'Google Ads Data'!C78</f>
        <v>0.01499250375</v>
      </c>
      <c r="D78" s="5">
        <f>'Google Ads Data'!D78/'Google Ads Data'!C78</f>
        <v>1.561034483</v>
      </c>
      <c r="E78" s="5">
        <f>'Google Ads Data'!F78/'Google Ads Data'!E78</f>
        <v>106.791</v>
      </c>
      <c r="F78" s="7">
        <f>'Google Ads Data'!F78/'Google Ads Data'!D78</f>
        <v>1.025643242</v>
      </c>
      <c r="G78" s="5">
        <f>'Google Ads Data'!D78/'Google Ads Data'!E78</f>
        <v>104.121</v>
      </c>
      <c r="H78" s="5">
        <f>('Google Ads Data'!D78/'Google Ads Data'!B78)*1000</f>
        <v>26.83185157</v>
      </c>
    </row>
    <row r="79" ht="15.75" customHeight="1">
      <c r="A79" s="3">
        <v>45004.0</v>
      </c>
      <c r="B79" s="6">
        <f>'Google Ads Data'!C79/'Google Ads Data'!B79</f>
        <v>0.02009945405</v>
      </c>
      <c r="C79" s="6">
        <f>'Google Ads Data'!E79/'Google Ads Data'!C79</f>
        <v>0.02249134948</v>
      </c>
      <c r="D79" s="5">
        <f>'Google Ads Data'!D79/'Google Ads Data'!C79</f>
        <v>1.450034602</v>
      </c>
      <c r="E79" s="5">
        <f>'Google Ads Data'!F79/'Google Ads Data'!E79</f>
        <v>190.0115385</v>
      </c>
      <c r="F79" s="7">
        <f>'Google Ads Data'!F79/'Google Ads Data'!D79</f>
        <v>2.94725099</v>
      </c>
      <c r="G79" s="5">
        <f>'Google Ads Data'!D79/'Google Ads Data'!E79</f>
        <v>64.47076923</v>
      </c>
      <c r="H79" s="5">
        <f>('Google Ads Data'!D79/'Google Ads Data'!B79)*1000</f>
        <v>29.14490385</v>
      </c>
    </row>
    <row r="80" ht="15.75" customHeight="1">
      <c r="A80" s="3">
        <v>45005.0</v>
      </c>
      <c r="B80" s="6">
        <f>'Google Ads Data'!C80/'Google Ads Data'!B80</f>
        <v>0.01069257679</v>
      </c>
      <c r="C80" s="6">
        <f>'Google Ads Data'!E80/'Google Ads Data'!C80</f>
        <v>0.02391304348</v>
      </c>
      <c r="D80" s="5">
        <f>'Google Ads Data'!D80/'Google Ads Data'!C80</f>
        <v>1.761217391</v>
      </c>
      <c r="E80" s="5">
        <f>'Google Ads Data'!F80/'Google Ads Data'!E80</f>
        <v>185.0736364</v>
      </c>
      <c r="F80" s="7">
        <f>'Google Ads Data'!F80/'Google Ads Data'!D80</f>
        <v>2.512849314</v>
      </c>
      <c r="G80" s="5">
        <f>'Google Ads Data'!D80/'Google Ads Data'!E80</f>
        <v>73.65090909</v>
      </c>
      <c r="H80" s="5">
        <f>('Google Ads Data'!D80/'Google Ads Data'!B80)*1000</f>
        <v>18.83195221</v>
      </c>
    </row>
    <row r="81" ht="15.75" customHeight="1">
      <c r="A81" s="3">
        <v>45006.0</v>
      </c>
      <c r="B81" s="6">
        <f>'Google Ads Data'!C81/'Google Ads Data'!B81</f>
        <v>0.02349107836</v>
      </c>
      <c r="C81" s="6">
        <f>'Google Ads Data'!E81/'Google Ads Data'!C81</f>
        <v>0.01849405548</v>
      </c>
      <c r="D81" s="5">
        <f>'Google Ads Data'!D81/'Google Ads Data'!C81</f>
        <v>1.890713342</v>
      </c>
      <c r="E81" s="5">
        <f>'Google Ads Data'!F81/'Google Ads Data'!E81</f>
        <v>109.5142857</v>
      </c>
      <c r="F81" s="7">
        <f>'Google Ads Data'!F81/'Google Ads Data'!D81</f>
        <v>1.071216472</v>
      </c>
      <c r="G81" s="5">
        <f>'Google Ads Data'!D81/'Google Ads Data'!E81</f>
        <v>102.2335714</v>
      </c>
      <c r="H81" s="5">
        <f>('Google Ads Data'!D81/'Google Ads Data'!B81)*1000</f>
        <v>44.41489527</v>
      </c>
    </row>
    <row r="82" ht="15.75" customHeight="1">
      <c r="A82" s="3">
        <v>45007.0</v>
      </c>
      <c r="B82" s="6">
        <f>'Google Ads Data'!C82/'Google Ads Data'!B82</f>
        <v>0.02868336765</v>
      </c>
      <c r="C82" s="6">
        <f>'Google Ads Data'!E82/'Google Ads Data'!C82</f>
        <v>0.0149551346</v>
      </c>
      <c r="D82" s="5">
        <f>'Google Ads Data'!D82/'Google Ads Data'!C82</f>
        <v>1.200687936</v>
      </c>
      <c r="E82" s="5">
        <f>'Google Ads Data'!F82/'Google Ads Data'!E82</f>
        <v>146.804</v>
      </c>
      <c r="F82" s="7">
        <f>'Google Ads Data'!F82/'Google Ads Data'!D82</f>
        <v>1.828513066</v>
      </c>
      <c r="G82" s="5">
        <f>'Google Ads Data'!D82/'Google Ads Data'!E82</f>
        <v>80.286</v>
      </c>
      <c r="H82" s="5">
        <f>('Google Ads Data'!D82/'Google Ads Data'!B82)*1000</f>
        <v>34.43977351</v>
      </c>
    </row>
    <row r="83" ht="15.75" customHeight="1">
      <c r="A83" s="3">
        <v>45008.0</v>
      </c>
      <c r="B83" s="6">
        <f>'Google Ads Data'!C83/'Google Ads Data'!B83</f>
        <v>0.01719479737</v>
      </c>
      <c r="C83" s="6">
        <f>'Google Ads Data'!E83/'Google Ads Data'!C83</f>
        <v>0.01693925234</v>
      </c>
      <c r="D83" s="5">
        <f>'Google Ads Data'!D83/'Google Ads Data'!C83</f>
        <v>1.240373832</v>
      </c>
      <c r="E83" s="5">
        <f>'Google Ads Data'!F83/'Google Ads Data'!E83</f>
        <v>139.3517241</v>
      </c>
      <c r="F83" s="7">
        <f>'Google Ads Data'!F83/'Google Ads Data'!D83</f>
        <v>1.903066606</v>
      </c>
      <c r="G83" s="5">
        <f>'Google Ads Data'!D83/'Google Ads Data'!E83</f>
        <v>73.22482759</v>
      </c>
      <c r="H83" s="5">
        <f>('Google Ads Data'!D83/'Google Ads Data'!B83)*1000</f>
        <v>21.3279767</v>
      </c>
    </row>
    <row r="84" ht="15.75" customHeight="1">
      <c r="A84" s="3">
        <v>45009.0</v>
      </c>
      <c r="B84" s="6">
        <f>'Google Ads Data'!C84/'Google Ads Data'!B84</f>
        <v>0.01215686275</v>
      </c>
      <c r="C84" s="6">
        <f>'Google Ads Data'!E84/'Google Ads Data'!C84</f>
        <v>0.008064516129</v>
      </c>
      <c r="D84" s="5">
        <f>'Google Ads Data'!D84/'Google Ads Data'!C84</f>
        <v>1.615645161</v>
      </c>
      <c r="E84" s="5">
        <f>'Google Ads Data'!F84/'Google Ads Data'!E84</f>
        <v>203.21</v>
      </c>
      <c r="F84" s="7">
        <f>'Google Ads Data'!F84/'Google Ads Data'!D84</f>
        <v>1.014325646</v>
      </c>
      <c r="G84" s="5">
        <f>'Google Ads Data'!D84/'Google Ads Data'!E84</f>
        <v>200.34</v>
      </c>
      <c r="H84" s="5">
        <f>('Google Ads Data'!D84/'Google Ads Data'!B84)*1000</f>
        <v>19.64117647</v>
      </c>
    </row>
    <row r="85" ht="15.75" customHeight="1">
      <c r="A85" s="3">
        <v>45010.0</v>
      </c>
      <c r="B85" s="6">
        <f>'Google Ads Data'!C85/'Google Ads Data'!B85</f>
        <v>0.02529541083</v>
      </c>
      <c r="C85" s="6">
        <f>'Google Ads Data'!E85/'Google Ads Data'!C85</f>
        <v>0.01683867463</v>
      </c>
      <c r="D85" s="5">
        <f>'Google Ads Data'!D85/'Google Ads Data'!C85</f>
        <v>1.830331342</v>
      </c>
      <c r="E85" s="5">
        <f>'Google Ads Data'!F85/'Google Ads Data'!E85</f>
        <v>122.9</v>
      </c>
      <c r="F85" s="7">
        <f>'Google Ads Data'!F85/'Google Ads Data'!D85</f>
        <v>1.130654907</v>
      </c>
      <c r="G85" s="5">
        <f>'Google Ads Data'!D85/'Google Ads Data'!E85</f>
        <v>108.6980645</v>
      </c>
      <c r="H85" s="5">
        <f>('Google Ads Data'!D85/'Google Ads Data'!B85)*1000</f>
        <v>46.29898324</v>
      </c>
    </row>
    <row r="86" ht="15.75" customHeight="1">
      <c r="A86" s="3">
        <v>45011.0</v>
      </c>
      <c r="B86" s="6">
        <f>'Google Ads Data'!C86/'Google Ads Data'!B86</f>
        <v>0.02409786433</v>
      </c>
      <c r="C86" s="6">
        <f>'Google Ads Data'!E86/'Google Ads Data'!C86</f>
        <v>0.0220713073</v>
      </c>
      <c r="D86" s="5">
        <f>'Google Ads Data'!D86/'Google Ads Data'!C86</f>
        <v>1.04008489</v>
      </c>
      <c r="E86" s="5">
        <f>'Google Ads Data'!F86/'Google Ads Data'!E86</f>
        <v>109.4276923</v>
      </c>
      <c r="F86" s="7">
        <f>'Google Ads Data'!F86/'Google Ads Data'!D86</f>
        <v>2.322129903</v>
      </c>
      <c r="G86" s="5">
        <f>'Google Ads Data'!D86/'Google Ads Data'!E86</f>
        <v>47.12384615</v>
      </c>
      <c r="H86" s="5">
        <f>('Google Ads Data'!D86/'Google Ads Data'!B86)*1000</f>
        <v>25.06382456</v>
      </c>
    </row>
    <row r="87" ht="15.75" customHeight="1">
      <c r="A87" s="3">
        <v>45012.0</v>
      </c>
      <c r="B87" s="6">
        <f>'Google Ads Data'!C87/'Google Ads Data'!B87</f>
        <v>0.01339583076</v>
      </c>
      <c r="C87" s="6">
        <f>'Google Ads Data'!E87/'Google Ads Data'!C87</f>
        <v>0.01933701657</v>
      </c>
      <c r="D87" s="5">
        <f>'Google Ads Data'!D87/'Google Ads Data'!C87</f>
        <v>1.25038674</v>
      </c>
      <c r="E87" s="5">
        <f>'Google Ads Data'!F87/'Google Ads Data'!E87</f>
        <v>127.3861905</v>
      </c>
      <c r="F87" s="7">
        <f>'Google Ads Data'!F87/'Google Ads Data'!D87</f>
        <v>1.970005597</v>
      </c>
      <c r="G87" s="5">
        <f>'Google Ads Data'!D87/'Google Ads Data'!E87</f>
        <v>64.66285714</v>
      </c>
      <c r="H87" s="5">
        <f>('Google Ads Data'!D87/'Google Ads Data'!B87)*1000</f>
        <v>16.74996916</v>
      </c>
    </row>
    <row r="88" ht="15.75" customHeight="1">
      <c r="A88" s="3">
        <v>45013.0</v>
      </c>
      <c r="B88" s="6">
        <f>'Google Ads Data'!C88/'Google Ads Data'!B88</f>
        <v>0.02305134836</v>
      </c>
      <c r="C88" s="6">
        <f>'Google Ads Data'!E88/'Google Ads Data'!C88</f>
        <v>0.01602564103</v>
      </c>
      <c r="D88" s="5">
        <f>'Google Ads Data'!D88/'Google Ads Data'!C88</f>
        <v>1.362852564</v>
      </c>
      <c r="E88" s="5">
        <f>'Google Ads Data'!F88/'Google Ads Data'!E88</f>
        <v>199.852</v>
      </c>
      <c r="F88" s="7">
        <f>'Google Ads Data'!F88/'Google Ads Data'!D88</f>
        <v>2.350038804</v>
      </c>
      <c r="G88" s="5">
        <f>'Google Ads Data'!D88/'Google Ads Data'!E88</f>
        <v>85.042</v>
      </c>
      <c r="H88" s="5">
        <f>('Google Ads Data'!D88/'Google Ads Data'!B88)*1000</f>
        <v>31.41558921</v>
      </c>
    </row>
    <row r="89" ht="15.75" customHeight="1">
      <c r="A89" s="3">
        <v>45014.0</v>
      </c>
      <c r="B89" s="6">
        <f>'Google Ads Data'!C89/'Google Ads Data'!B89</f>
        <v>0.02978866604</v>
      </c>
      <c r="C89" s="6">
        <f>'Google Ads Data'!E89/'Google Ads Data'!C89</f>
        <v>0.01491188432</v>
      </c>
      <c r="D89" s="5">
        <f>'Google Ads Data'!D89/'Google Ads Data'!C89</f>
        <v>1.800682332</v>
      </c>
      <c r="E89" s="5">
        <f>'Google Ads Data'!F89/'Google Ads Data'!E89</f>
        <v>170.3854545</v>
      </c>
      <c r="F89" s="7">
        <f>'Google Ads Data'!F89/'Google Ads Data'!D89</f>
        <v>1.411003009</v>
      </c>
      <c r="G89" s="5">
        <f>'Google Ads Data'!D89/'Google Ads Data'!E89</f>
        <v>120.7548485</v>
      </c>
      <c r="H89" s="5">
        <f>('Google Ads Data'!D89/'Google Ads Data'!B89)*1000</f>
        <v>53.63992462</v>
      </c>
    </row>
    <row r="90" ht="15.75" customHeight="1">
      <c r="A90" s="3">
        <v>45015.0</v>
      </c>
      <c r="B90" s="6">
        <f>'Google Ads Data'!C90/'Google Ads Data'!B90</f>
        <v>0.01309900289</v>
      </c>
      <c r="C90" s="6">
        <f>'Google Ads Data'!E90/'Google Ads Data'!C90</f>
        <v>0.01583113456</v>
      </c>
      <c r="D90" s="5">
        <f>'Google Ads Data'!D90/'Google Ads Data'!C90</f>
        <v>1.270092348</v>
      </c>
      <c r="E90" s="5">
        <f>'Google Ads Data'!F90/'Google Ads Data'!E90</f>
        <v>111.8766667</v>
      </c>
      <c r="F90" s="7">
        <f>'Google Ads Data'!F90/'Google Ads Data'!D90</f>
        <v>1.394492745</v>
      </c>
      <c r="G90" s="5">
        <f>'Google Ads Data'!D90/'Google Ads Data'!E90</f>
        <v>80.2275</v>
      </c>
      <c r="H90" s="5">
        <f>('Google Ads Data'!D90/'Google Ads Data'!B90)*1000</f>
        <v>16.63694334</v>
      </c>
    </row>
    <row r="91" ht="15.75" customHeight="1">
      <c r="A91" s="3">
        <v>45016.0</v>
      </c>
      <c r="B91" s="6">
        <f>'Google Ads Data'!C91/'Google Ads Data'!B91</f>
        <v>0.01329411315</v>
      </c>
      <c r="C91" s="6">
        <f>'Google Ads Data'!E91/'Google Ads Data'!C91</f>
        <v>0.02011494253</v>
      </c>
      <c r="D91" s="5">
        <f>'Google Ads Data'!D91/'Google Ads Data'!C91</f>
        <v>1.310574713</v>
      </c>
      <c r="E91" s="5">
        <f>'Google Ads Data'!F91/'Google Ads Data'!E91</f>
        <v>117.3678571</v>
      </c>
      <c r="F91" s="7">
        <f>'Google Ads Data'!F91/'Google Ads Data'!D91</f>
        <v>1.801383529</v>
      </c>
      <c r="G91" s="5">
        <f>'Google Ads Data'!D91/'Google Ads Data'!E91</f>
        <v>65.15428571</v>
      </c>
      <c r="H91" s="5">
        <f>('Google Ads Data'!D91/'Google Ads Data'!B91)*1000</f>
        <v>17.42292853</v>
      </c>
    </row>
    <row r="92" ht="15.75" customHeight="1">
      <c r="A92" s="3">
        <v>45017.0</v>
      </c>
      <c r="B92" s="6">
        <f>'Google Ads Data'!C92/'Google Ads Data'!B92</f>
        <v>0.0168987065</v>
      </c>
      <c r="C92" s="6">
        <f>'Google Ads Data'!E92/'Google Ads Data'!C92</f>
        <v>0.02086811352</v>
      </c>
      <c r="D92" s="5">
        <f>'Google Ads Data'!D92/'Google Ads Data'!C92</f>
        <v>1.450108514</v>
      </c>
      <c r="E92" s="5">
        <f>'Google Ads Data'!F92/'Google Ads Data'!E92</f>
        <v>105.1396</v>
      </c>
      <c r="F92" s="7">
        <f>'Google Ads Data'!F92/'Google Ads Data'!D92</f>
        <v>1.513035119</v>
      </c>
      <c r="G92" s="5">
        <f>'Google Ads Data'!D92/'Google Ads Data'!E92</f>
        <v>69.4892</v>
      </c>
      <c r="H92" s="5">
        <f>('Google Ads Data'!D92/'Google Ads Data'!B92)*1000</f>
        <v>24.50495818</v>
      </c>
    </row>
    <row r="93" ht="15.75" customHeight="1">
      <c r="A93" s="3">
        <v>45018.0</v>
      </c>
      <c r="B93" s="6">
        <f>'Google Ads Data'!C93/'Google Ads Data'!B93</f>
        <v>0.01919065959</v>
      </c>
      <c r="C93" s="6">
        <f>'Google Ads Data'!E93/'Google Ads Data'!C93</f>
        <v>0.02415181139</v>
      </c>
      <c r="D93" s="5">
        <f>'Google Ads Data'!D93/'Google Ads Data'!C93</f>
        <v>1.900920069</v>
      </c>
      <c r="E93" s="5">
        <f>'Google Ads Data'!F93/'Google Ads Data'!E93</f>
        <v>108.4588095</v>
      </c>
      <c r="F93" s="7">
        <f>'Google Ads Data'!F93/'Google Ads Data'!D93</f>
        <v>1.378004659</v>
      </c>
      <c r="G93" s="5">
        <f>'Google Ads Data'!D93/'Google Ads Data'!E93</f>
        <v>78.70714286</v>
      </c>
      <c r="H93" s="5">
        <f>('Google Ads Data'!D93/'Google Ads Data'!B93)*1000</f>
        <v>36.47990995</v>
      </c>
    </row>
    <row r="94" ht="15.75" customHeight="1">
      <c r="A94" s="3">
        <v>45019.0</v>
      </c>
      <c r="B94" s="6">
        <f>'Google Ads Data'!C94/'Google Ads Data'!B94</f>
        <v>0.01187605057</v>
      </c>
      <c r="C94" s="6">
        <f>'Google Ads Data'!E94/'Google Ads Data'!C94</f>
        <v>0.02153846154</v>
      </c>
      <c r="D94" s="5">
        <f>'Google Ads Data'!D94/'Google Ads Data'!C94</f>
        <v>1.523046154</v>
      </c>
      <c r="E94" s="5">
        <f>'Google Ads Data'!F94/'Google Ads Data'!E94</f>
        <v>117.3657143</v>
      </c>
      <c r="F94" s="7">
        <f>'Google Ads Data'!F94/'Google Ads Data'!D94</f>
        <v>1.659750702</v>
      </c>
      <c r="G94" s="5">
        <f>'Google Ads Data'!D94/'Google Ads Data'!E94</f>
        <v>70.71285714</v>
      </c>
      <c r="H94" s="5">
        <f>('Google Ads Data'!D94/'Google Ads Data'!B94)*1000</f>
        <v>18.08777315</v>
      </c>
    </row>
    <row r="95" ht="15.75" customHeight="1">
      <c r="A95" s="3">
        <v>45020.0</v>
      </c>
      <c r="B95" s="6">
        <f>'Google Ads Data'!C95/'Google Ads Data'!B95</f>
        <v>0.02988935983</v>
      </c>
      <c r="C95" s="6">
        <f>'Google Ads Data'!E95/'Google Ads Data'!C95</f>
        <v>0.02348066298</v>
      </c>
      <c r="D95" s="5">
        <f>'Google Ads Data'!D95/'Google Ads Data'!C95</f>
        <v>1.390492634</v>
      </c>
      <c r="E95" s="5">
        <f>'Google Ads Data'!F95/'Google Ads Data'!E95</f>
        <v>127.2223529</v>
      </c>
      <c r="F95" s="7">
        <f>'Google Ads Data'!F95/'Google Ads Data'!D95</f>
        <v>2.148350248</v>
      </c>
      <c r="G95" s="5">
        <f>'Google Ads Data'!D95/'Google Ads Data'!E95</f>
        <v>59.21862745</v>
      </c>
      <c r="H95" s="5">
        <f>('Google Ads Data'!D95/'Google Ads Data'!B95)*1000</f>
        <v>41.56093466</v>
      </c>
    </row>
    <row r="96" ht="15.75" customHeight="1">
      <c r="A96" s="3">
        <v>45021.0</v>
      </c>
      <c r="B96" s="6">
        <f>'Google Ads Data'!C96/'Google Ads Data'!B96</f>
        <v>0.02335401136</v>
      </c>
      <c r="C96" s="6">
        <f>'Google Ads Data'!E96/'Google Ads Data'!C96</f>
        <v>0.015625</v>
      </c>
      <c r="D96" s="5">
        <f>'Google Ads Data'!D96/'Google Ads Data'!C96</f>
        <v>1.703325893</v>
      </c>
      <c r="E96" s="5">
        <f>'Google Ads Data'!F96/'Google Ads Data'!E96</f>
        <v>103.3457143</v>
      </c>
      <c r="F96" s="7">
        <f>'Google Ads Data'!F96/'Google Ads Data'!D96</f>
        <v>0.9480139957</v>
      </c>
      <c r="G96" s="5">
        <f>'Google Ads Data'!D96/'Google Ads Data'!E96</f>
        <v>109.0128571</v>
      </c>
      <c r="H96" s="5">
        <f>('Google Ads Data'!D96/'Google Ads Data'!B96)*1000</f>
        <v>39.77949226</v>
      </c>
    </row>
    <row r="97" ht="15.75" customHeight="1">
      <c r="A97" s="3">
        <v>45022.0</v>
      </c>
      <c r="B97" s="6">
        <f>'Google Ads Data'!C97/'Google Ads Data'!B97</f>
        <v>0.01869814799</v>
      </c>
      <c r="C97" s="6">
        <f>'Google Ads Data'!E97/'Google Ads Data'!C97</f>
        <v>0.01792717087</v>
      </c>
      <c r="D97" s="5">
        <f>'Google Ads Data'!D97/'Google Ads Data'!C97</f>
        <v>1.570151261</v>
      </c>
      <c r="E97" s="5">
        <f>'Google Ads Data'!F97/'Google Ads Data'!E97</f>
        <v>154.998125</v>
      </c>
      <c r="F97" s="7">
        <f>'Google Ads Data'!F97/'Google Ads Data'!D97</f>
        <v>1.769688017</v>
      </c>
      <c r="G97" s="5">
        <f>'Google Ads Data'!D97/'Google Ads Data'!E97</f>
        <v>87.585</v>
      </c>
      <c r="H97" s="5">
        <f>('Google Ads Data'!D97/'Google Ads Data'!B97)*1000</f>
        <v>29.35892064</v>
      </c>
    </row>
    <row r="98" ht="15.75" customHeight="1">
      <c r="A98" s="3">
        <v>45023.0</v>
      </c>
      <c r="B98" s="6">
        <f>'Google Ads Data'!C98/'Google Ads Data'!B98</f>
        <v>0.02579716158</v>
      </c>
      <c r="C98" s="6">
        <f>'Google Ads Data'!E98/'Google Ads Data'!C98</f>
        <v>0.02034058657</v>
      </c>
      <c r="D98" s="5">
        <f>'Google Ads Data'!D98/'Google Ads Data'!C98</f>
        <v>1.730189215</v>
      </c>
      <c r="E98" s="5">
        <f>'Google Ads Data'!F98/'Google Ads Data'!E98</f>
        <v>151.6495349</v>
      </c>
      <c r="F98" s="7">
        <f>'Google Ads Data'!F98/'Google Ads Data'!D98</f>
        <v>1.782834193</v>
      </c>
      <c r="G98" s="5">
        <f>'Google Ads Data'!D98/'Google Ads Data'!E98</f>
        <v>85.06093023</v>
      </c>
      <c r="H98" s="5">
        <f>('Google Ads Data'!D98/'Google Ads Data'!B98)*1000</f>
        <v>44.63397074</v>
      </c>
    </row>
    <row r="99" ht="15.75" customHeight="1">
      <c r="A99" s="3">
        <v>45024.0</v>
      </c>
      <c r="B99" s="6">
        <f>'Google Ads Data'!C99/'Google Ads Data'!B99</f>
        <v>0.02349500366</v>
      </c>
      <c r="C99" s="6">
        <f>'Google Ads Data'!E99/'Google Ads Data'!C99</f>
        <v>0.01504149378</v>
      </c>
      <c r="D99" s="5">
        <f>'Google Ads Data'!D99/'Google Ads Data'!C99</f>
        <v>1.960414938</v>
      </c>
      <c r="E99" s="5">
        <f>'Google Ads Data'!F99/'Google Ads Data'!E99</f>
        <v>194.0644828</v>
      </c>
      <c r="F99" s="7">
        <f>'Google Ads Data'!F99/'Google Ads Data'!D99</f>
        <v>1.488980549</v>
      </c>
      <c r="G99" s="5">
        <f>'Google Ads Data'!D99/'Google Ads Data'!E99</f>
        <v>130.3337931</v>
      </c>
      <c r="H99" s="5">
        <f>('Google Ads Data'!D99/'Google Ads Data'!B99)*1000</f>
        <v>46.05995613</v>
      </c>
    </row>
    <row r="100" ht="15.75" customHeight="1">
      <c r="A100" s="3">
        <v>45025.0</v>
      </c>
      <c r="B100" s="6">
        <f>'Google Ads Data'!C100/'Google Ads Data'!B100</f>
        <v>0.01059976563</v>
      </c>
      <c r="C100" s="6">
        <f>'Google Ads Data'!E100/'Google Ads Data'!C100</f>
        <v>0.02010050251</v>
      </c>
      <c r="D100" s="5">
        <f>'Google Ads Data'!D100/'Google Ads Data'!C100</f>
        <v>1.42001675</v>
      </c>
      <c r="E100" s="5">
        <f>'Google Ads Data'!F100/'Google Ads Data'!E100</f>
        <v>110.2083333</v>
      </c>
      <c r="F100" s="7">
        <f>'Google Ads Data'!F100/'Google Ads Data'!D100</f>
        <v>1.560011796</v>
      </c>
      <c r="G100" s="5">
        <f>'Google Ads Data'!D100/'Google Ads Data'!E100</f>
        <v>70.64583333</v>
      </c>
      <c r="H100" s="5">
        <f>('Google Ads Data'!D100/'Google Ads Data'!B100)*1000</f>
        <v>15.05184475</v>
      </c>
    </row>
    <row r="101" ht="15.75" customHeight="1">
      <c r="A101" s="3">
        <v>45026.0</v>
      </c>
      <c r="B101" s="6">
        <f>'Google Ads Data'!C101/'Google Ads Data'!B101</f>
        <v>0.01749265268</v>
      </c>
      <c r="C101" s="6">
        <f>'Google Ads Data'!E101/'Google Ads Data'!C101</f>
        <v>0.01380897583</v>
      </c>
      <c r="D101" s="5">
        <f>'Google Ads Data'!D101/'Google Ads Data'!C101</f>
        <v>1.300540852</v>
      </c>
      <c r="E101" s="5">
        <f>'Google Ads Data'!F101/'Google Ads Data'!E101</f>
        <v>146.0175</v>
      </c>
      <c r="F101" s="7">
        <f>'Google Ads Data'!F101/'Google Ads Data'!D101</f>
        <v>1.550395073</v>
      </c>
      <c r="G101" s="5">
        <f>'Google Ads Data'!D101/'Google Ads Data'!E101</f>
        <v>94.18083333</v>
      </c>
      <c r="H101" s="5">
        <f>('Google Ads Data'!D101/'Google Ads Data'!B101)*1000</f>
        <v>22.74990942</v>
      </c>
    </row>
    <row r="102" ht="15.75" customHeight="1">
      <c r="A102" s="3">
        <v>45027.0</v>
      </c>
      <c r="B102" s="6">
        <f>'Google Ads Data'!C102/'Google Ads Data'!B102</f>
        <v>0.02679403541</v>
      </c>
      <c r="C102" s="6">
        <f>'Google Ads Data'!E102/'Google Ads Data'!C102</f>
        <v>0.0189258312</v>
      </c>
      <c r="D102" s="5">
        <f>'Google Ads Data'!D102/'Google Ads Data'!C102</f>
        <v>1.33029156</v>
      </c>
      <c r="E102" s="5">
        <f>'Google Ads Data'!F102/'Google Ads Data'!E102</f>
        <v>191.7278378</v>
      </c>
      <c r="F102" s="7">
        <f>'Google Ads Data'!F102/'Google Ads Data'!D102</f>
        <v>2.727679258</v>
      </c>
      <c r="G102" s="5">
        <f>'Google Ads Data'!D102/'Google Ads Data'!E102</f>
        <v>70.28972973</v>
      </c>
      <c r="H102" s="5">
        <f>('Google Ads Data'!D102/'Google Ads Data'!B102)*1000</f>
        <v>35.64387917</v>
      </c>
    </row>
    <row r="103" ht="15.75" customHeight="1">
      <c r="A103" s="3">
        <v>45028.0</v>
      </c>
      <c r="B103" s="6">
        <f>'Google Ads Data'!C103/'Google Ads Data'!B103</f>
        <v>0.01769112256</v>
      </c>
      <c r="C103" s="6">
        <f>'Google Ads Data'!E103/'Google Ads Data'!C103</f>
        <v>0.01261261261</v>
      </c>
      <c r="D103" s="5">
        <f>'Google Ads Data'!D103/'Google Ads Data'!C103</f>
        <v>1.230612613</v>
      </c>
      <c r="E103" s="5">
        <f>'Google Ads Data'!F103/'Google Ads Data'!E103</f>
        <v>112.832381</v>
      </c>
      <c r="F103" s="7">
        <f>'Google Ads Data'!F103/'Google Ads Data'!D103</f>
        <v>1.156424935</v>
      </c>
      <c r="G103" s="5">
        <f>'Google Ads Data'!D103/'Google Ads Data'!E103</f>
        <v>97.57</v>
      </c>
      <c r="H103" s="5">
        <f>('Google Ads Data'!D103/'Google Ads Data'!B103)*1000</f>
        <v>21.77091856</v>
      </c>
    </row>
    <row r="104" ht="15.75" customHeight="1">
      <c r="A104" s="3">
        <v>45029.0</v>
      </c>
      <c r="B104" s="6">
        <f>'Google Ads Data'!C104/'Google Ads Data'!B104</f>
        <v>0.02097664955</v>
      </c>
      <c r="C104" s="6">
        <f>'Google Ads Data'!E104/'Google Ads Data'!C104</f>
        <v>0.01385681293</v>
      </c>
      <c r="D104" s="5">
        <f>'Google Ads Data'!D104/'Google Ads Data'!C104</f>
        <v>1.69187067</v>
      </c>
      <c r="E104" s="5">
        <f>'Google Ads Data'!F104/'Google Ads Data'!E104</f>
        <v>151.1766667</v>
      </c>
      <c r="F104" s="7">
        <f>'Google Ads Data'!F104/'Google Ads Data'!D104</f>
        <v>1.23817194</v>
      </c>
      <c r="G104" s="5">
        <f>'Google Ads Data'!D104/'Google Ads Data'!E104</f>
        <v>122.0966667</v>
      </c>
      <c r="H104" s="5">
        <f>('Google Ads Data'!D104/'Google Ads Data'!B104)*1000</f>
        <v>35.48977812</v>
      </c>
    </row>
    <row r="105" ht="15.75" customHeight="1">
      <c r="A105" s="3">
        <v>45030.0</v>
      </c>
      <c r="B105" s="6">
        <f>'Google Ads Data'!C105/'Google Ads Data'!B105</f>
        <v>0.01259190717</v>
      </c>
      <c r="C105" s="6">
        <f>'Google Ads Data'!E105/'Google Ads Data'!C105</f>
        <v>0.02085402185</v>
      </c>
      <c r="D105" s="5">
        <f>'Google Ads Data'!D105/'Google Ads Data'!C105</f>
        <v>1.430913605</v>
      </c>
      <c r="E105" s="5">
        <f>'Google Ads Data'!F105/'Google Ads Data'!E105</f>
        <v>156.6557143</v>
      </c>
      <c r="F105" s="7">
        <f>'Google Ads Data'!F105/'Google Ads Data'!D105</f>
        <v>2.283088006</v>
      </c>
      <c r="G105" s="5">
        <f>'Google Ads Data'!D105/'Google Ads Data'!E105</f>
        <v>68.61571429</v>
      </c>
      <c r="H105" s="5">
        <f>('Google Ads Data'!D105/'Google Ads Data'!B105)*1000</f>
        <v>18.01793128</v>
      </c>
    </row>
    <row r="106" ht="15.75" customHeight="1">
      <c r="A106" s="3">
        <v>45031.0</v>
      </c>
      <c r="B106" s="6">
        <f>'Google Ads Data'!C106/'Google Ads Data'!B106</f>
        <v>0.02109538225</v>
      </c>
      <c r="C106" s="6">
        <f>'Google Ads Data'!E106/'Google Ads Data'!C106</f>
        <v>0.01819100556</v>
      </c>
      <c r="D106" s="5">
        <f>'Google Ads Data'!D106/'Google Ads Data'!C106</f>
        <v>1.98042951</v>
      </c>
      <c r="E106" s="5">
        <f>'Google Ads Data'!F106/'Google Ads Data'!E106</f>
        <v>169.0436111</v>
      </c>
      <c r="F106" s="7">
        <f>'Google Ads Data'!F106/'Google Ads Data'!D106</f>
        <v>1.552730483</v>
      </c>
      <c r="G106" s="5">
        <f>'Google Ads Data'!D106/'Google Ads Data'!E106</f>
        <v>108.8686111</v>
      </c>
      <c r="H106" s="5">
        <f>('Google Ads Data'!D106/'Google Ads Data'!B106)*1000</f>
        <v>41.77791754</v>
      </c>
    </row>
    <row r="107" ht="15.75" customHeight="1">
      <c r="A107" s="3">
        <v>45032.0</v>
      </c>
      <c r="B107" s="6">
        <f>'Google Ads Data'!C107/'Google Ads Data'!B107</f>
        <v>0.01586529963</v>
      </c>
      <c r="C107" s="6">
        <f>'Google Ads Data'!E107/'Google Ads Data'!C107</f>
        <v>0.02228412256</v>
      </c>
      <c r="D107" s="5">
        <f>'Google Ads Data'!D107/'Google Ads Data'!C107</f>
        <v>1.102395543</v>
      </c>
      <c r="E107" s="5">
        <f>'Google Ads Data'!F107/'Google Ads Data'!E107</f>
        <v>163.73875</v>
      </c>
      <c r="F107" s="7">
        <f>'Google Ads Data'!F107/'Google Ads Data'!D107</f>
        <v>3.309859511</v>
      </c>
      <c r="G107" s="5">
        <f>'Google Ads Data'!D107/'Google Ads Data'!E107</f>
        <v>49.47</v>
      </c>
      <c r="H107" s="5">
        <f>('Google Ads Data'!D107/'Google Ads Data'!B107)*1000</f>
        <v>17.4898356</v>
      </c>
    </row>
    <row r="108" ht="15.75" customHeight="1">
      <c r="A108" s="3">
        <v>45033.0</v>
      </c>
      <c r="B108" s="6">
        <f>'Google Ads Data'!C108/'Google Ads Data'!B108</f>
        <v>0.01209700559</v>
      </c>
      <c r="C108" s="6">
        <f>'Google Ads Data'!E108/'Google Ads Data'!C108</f>
        <v>0.01897533207</v>
      </c>
      <c r="D108" s="5">
        <f>'Google Ads Data'!D108/'Google Ads Data'!C108</f>
        <v>1.730426945</v>
      </c>
      <c r="E108" s="5">
        <f>'Google Ads Data'!F108/'Google Ads Data'!E108</f>
        <v>177.938</v>
      </c>
      <c r="F108" s="7">
        <f>'Google Ads Data'!F108/'Google Ads Data'!D108</f>
        <v>1.951213628</v>
      </c>
      <c r="G108" s="5">
        <f>'Google Ads Data'!D108/'Google Ads Data'!E108</f>
        <v>91.1935</v>
      </c>
      <c r="H108" s="5">
        <f>('Google Ads Data'!D108/'Google Ads Data'!B108)*1000</f>
        <v>20.93298443</v>
      </c>
    </row>
    <row r="109" ht="15.75" customHeight="1">
      <c r="A109" s="3">
        <v>45034.0</v>
      </c>
      <c r="B109" s="6">
        <f>'Google Ads Data'!C109/'Google Ads Data'!B109</f>
        <v>0.01899653943</v>
      </c>
      <c r="C109" s="6">
        <f>'Google Ads Data'!E109/'Google Ads Data'!C109</f>
        <v>0.02476609796</v>
      </c>
      <c r="D109" s="5">
        <f>'Google Ads Data'!D109/'Google Ads Data'!C109</f>
        <v>1.420258668</v>
      </c>
      <c r="E109" s="5">
        <f>'Google Ads Data'!F109/'Google Ads Data'!E109</f>
        <v>137.7657778</v>
      </c>
      <c r="F109" s="7">
        <f>'Google Ads Data'!F109/'Google Ads Data'!D109</f>
        <v>2.402323482</v>
      </c>
      <c r="G109" s="5">
        <f>'Google Ads Data'!D109/'Google Ads Data'!E109</f>
        <v>57.34688889</v>
      </c>
      <c r="H109" s="5">
        <f>('Google Ads Data'!D109/'Google Ads Data'!B109)*1000</f>
        <v>26.97999979</v>
      </c>
    </row>
    <row r="110" ht="15.75" customHeight="1">
      <c r="A110" s="3">
        <v>45035.0</v>
      </c>
      <c r="B110" s="6">
        <f>'Google Ads Data'!C110/'Google Ads Data'!B110</f>
        <v>0.0184884099</v>
      </c>
      <c r="C110" s="6">
        <f>'Google Ads Data'!E110/'Google Ads Data'!C110</f>
        <v>0.01005025126</v>
      </c>
      <c r="D110" s="5">
        <f>'Google Ads Data'!D110/'Google Ads Data'!C110</f>
        <v>1.861155779</v>
      </c>
      <c r="E110" s="5">
        <f>'Google Ads Data'!F110/'Google Ads Data'!E110</f>
        <v>181.7025</v>
      </c>
      <c r="F110" s="7">
        <f>'Google Ads Data'!F110/'Google Ads Data'!D110</f>
        <v>0.9811944812</v>
      </c>
      <c r="G110" s="5">
        <f>'Google Ads Data'!D110/'Google Ads Data'!E110</f>
        <v>185.185</v>
      </c>
      <c r="H110" s="5">
        <f>('Google Ads Data'!D110/'Google Ads Data'!B110)*1000</f>
        <v>34.40981094</v>
      </c>
    </row>
    <row r="111" ht="15.75" customHeight="1">
      <c r="A111" s="3">
        <v>45036.0</v>
      </c>
      <c r="B111" s="6">
        <f>'Google Ads Data'!C111/'Google Ads Data'!B111</f>
        <v>0.01649213452</v>
      </c>
      <c r="C111" s="6">
        <f>'Google Ads Data'!E111/'Google Ads Data'!C111</f>
        <v>0.02377622378</v>
      </c>
      <c r="D111" s="5">
        <f>'Google Ads Data'!D111/'Google Ads Data'!C111</f>
        <v>1.770839161</v>
      </c>
      <c r="E111" s="5">
        <f>'Google Ads Data'!F111/'Google Ads Data'!E111</f>
        <v>192.5358824</v>
      </c>
      <c r="F111" s="7">
        <f>'Google Ads Data'!F111/'Google Ads Data'!D111</f>
        <v>2.585088655</v>
      </c>
      <c r="G111" s="5">
        <f>'Google Ads Data'!D111/'Google Ads Data'!E111</f>
        <v>74.47941176</v>
      </c>
      <c r="H111" s="5">
        <f>('Google Ads Data'!D111/'Google Ads Data'!B111)*1000</f>
        <v>29.20491765</v>
      </c>
    </row>
    <row r="112" ht="15.75" customHeight="1">
      <c r="A112" s="3">
        <v>45037.0</v>
      </c>
      <c r="B112" s="6">
        <f>'Google Ads Data'!C112/'Google Ads Data'!B112</f>
        <v>0.02779805496</v>
      </c>
      <c r="C112" s="6">
        <f>'Google Ads Data'!E112/'Google Ads Data'!C112</f>
        <v>0.02371876324</v>
      </c>
      <c r="D112" s="5">
        <f>'Google Ads Data'!D112/'Google Ads Data'!C112</f>
        <v>1.450097416</v>
      </c>
      <c r="E112" s="5">
        <f>'Google Ads Data'!F112/'Google Ads Data'!E112</f>
        <v>178.6221429</v>
      </c>
      <c r="F112" s="7">
        <f>'Google Ads Data'!F112/'Google Ads Data'!D112</f>
        <v>2.92166324</v>
      </c>
      <c r="G112" s="5">
        <f>'Google Ads Data'!D112/'Google Ads Data'!E112</f>
        <v>61.13714286</v>
      </c>
      <c r="H112" s="5">
        <f>('Google Ads Data'!D112/'Google Ads Data'!B112)*1000</f>
        <v>40.30988768</v>
      </c>
    </row>
    <row r="113" ht="15.75" customHeight="1">
      <c r="A113" s="3">
        <v>45038.0</v>
      </c>
      <c r="B113" s="6">
        <f>'Google Ads Data'!C113/'Google Ads Data'!B113</f>
        <v>0.02318932656</v>
      </c>
      <c r="C113" s="6">
        <f>'Google Ads Data'!E113/'Google Ads Data'!C113</f>
        <v>0.01369863014</v>
      </c>
      <c r="D113" s="5">
        <f>'Google Ads Data'!D113/'Google Ads Data'!C113</f>
        <v>1.880862506</v>
      </c>
      <c r="E113" s="5">
        <f>'Google Ads Data'!F113/'Google Ads Data'!E113</f>
        <v>170.9425926</v>
      </c>
      <c r="F113" s="7">
        <f>'Google Ads Data'!F113/'Google Ads Data'!D113</f>
        <v>1.24500294</v>
      </c>
      <c r="G113" s="5">
        <f>'Google Ads Data'!D113/'Google Ads Data'!E113</f>
        <v>137.302963</v>
      </c>
      <c r="H113" s="5">
        <f>('Google Ads Data'!D113/'Google Ads Data'!B113)*1000</f>
        <v>43.61593487</v>
      </c>
    </row>
    <row r="114" ht="15.75" customHeight="1">
      <c r="A114" s="3">
        <v>45039.0</v>
      </c>
      <c r="B114" s="6">
        <f>'Google Ads Data'!C114/'Google Ads Data'!B114</f>
        <v>0.02479229539</v>
      </c>
      <c r="C114" s="6">
        <f>'Google Ads Data'!E114/'Google Ads Data'!C114</f>
        <v>0.0193986421</v>
      </c>
      <c r="D114" s="5">
        <f>'Google Ads Data'!D114/'Google Ads Data'!C114</f>
        <v>1.000310378</v>
      </c>
      <c r="E114" s="5">
        <f>'Google Ads Data'!F114/'Google Ads Data'!E114</f>
        <v>150.5935</v>
      </c>
      <c r="F114" s="7">
        <f>'Google Ads Data'!F114/'Google Ads Data'!D114</f>
        <v>2.920402979</v>
      </c>
      <c r="G114" s="5">
        <f>'Google Ads Data'!D114/'Google Ads Data'!E114</f>
        <v>51.566</v>
      </c>
      <c r="H114" s="5">
        <f>('Google Ads Data'!D114/'Google Ads Data'!B114)*1000</f>
        <v>24.79999038</v>
      </c>
    </row>
    <row r="115" ht="15.75" customHeight="1">
      <c r="A115" s="3">
        <v>45040.0</v>
      </c>
      <c r="B115" s="6">
        <f>'Google Ads Data'!C115/'Google Ads Data'!B115</f>
        <v>0.0106999601</v>
      </c>
      <c r="C115" s="6">
        <f>'Google Ads Data'!E115/'Google Ads Data'!C115</f>
        <v>0.02453385672</v>
      </c>
      <c r="D115" s="5">
        <f>'Google Ads Data'!D115/'Google Ads Data'!C115</f>
        <v>1.93</v>
      </c>
      <c r="E115" s="5">
        <f>'Google Ads Data'!F115/'Google Ads Data'!E115</f>
        <v>155.4184</v>
      </c>
      <c r="F115" s="7">
        <f>'Google Ads Data'!F115/'Google Ads Data'!D115</f>
        <v>1.975654279</v>
      </c>
      <c r="G115" s="5">
        <f>'Google Ads Data'!D115/'Google Ads Data'!E115</f>
        <v>78.6668</v>
      </c>
      <c r="H115" s="5">
        <f>('Google Ads Data'!D115/'Google Ads Data'!B115)*1000</f>
        <v>20.65092299</v>
      </c>
    </row>
    <row r="116" ht="15.75" customHeight="1">
      <c r="A116" s="3">
        <v>45041.0</v>
      </c>
      <c r="B116" s="6">
        <f>'Google Ads Data'!C116/'Google Ads Data'!B116</f>
        <v>0.02298926726</v>
      </c>
      <c r="C116" s="6">
        <f>'Google Ads Data'!E116/'Google Ads Data'!C116</f>
        <v>0.02401536984</v>
      </c>
      <c r="D116" s="5">
        <f>'Google Ads Data'!D116/'Google Ads Data'!C116</f>
        <v>2.000931796</v>
      </c>
      <c r="E116" s="5">
        <f>'Google Ads Data'!F116/'Google Ads Data'!E116</f>
        <v>180.0728</v>
      </c>
      <c r="F116" s="7">
        <f>'Google Ads Data'!F116/'Google Ads Data'!D116</f>
        <v>2.161250522</v>
      </c>
      <c r="G116" s="5">
        <f>'Google Ads Data'!D116/'Google Ads Data'!E116</f>
        <v>83.3188</v>
      </c>
      <c r="H116" s="5">
        <f>('Google Ads Data'!D116/'Google Ads Data'!B116)*1000</f>
        <v>45.99995583</v>
      </c>
    </row>
    <row r="117" ht="15.75" customHeight="1">
      <c r="A117" s="3">
        <v>45042.0</v>
      </c>
      <c r="B117" s="6">
        <f>'Google Ads Data'!C117/'Google Ads Data'!B117</f>
        <v>0.01249351323</v>
      </c>
      <c r="C117" s="6">
        <f>'Google Ads Data'!E117/'Google Ads Data'!C117</f>
        <v>0.02076843198</v>
      </c>
      <c r="D117" s="5">
        <f>'Google Ads Data'!D117/'Google Ads Data'!C117</f>
        <v>1.800934579</v>
      </c>
      <c r="E117" s="5">
        <f>'Google Ads Data'!F117/'Google Ads Data'!E117</f>
        <v>174.5815</v>
      </c>
      <c r="F117" s="7">
        <f>'Google Ads Data'!F117/'Google Ads Data'!D117</f>
        <v>2.013279133</v>
      </c>
      <c r="G117" s="5">
        <f>'Google Ads Data'!D117/'Google Ads Data'!E117</f>
        <v>86.715</v>
      </c>
      <c r="H117" s="5">
        <f>('Google Ads Data'!D117/'Google Ads Data'!B117)*1000</f>
        <v>22.5</v>
      </c>
    </row>
    <row r="118" ht="15.75" customHeight="1">
      <c r="A118" s="3">
        <v>45043.0</v>
      </c>
      <c r="B118" s="6">
        <f>'Google Ads Data'!C118/'Google Ads Data'!B118</f>
        <v>0.02076255191</v>
      </c>
      <c r="C118" s="6">
        <f>'Google Ads Data'!E118/'Google Ads Data'!C118</f>
        <v>0.01636363636</v>
      </c>
      <c r="D118" s="5">
        <f>'Google Ads Data'!D118/'Google Ads Data'!C118</f>
        <v>1.843309091</v>
      </c>
      <c r="E118" s="5">
        <f>'Google Ads Data'!F118/'Google Ads Data'!E118</f>
        <v>134.1477778</v>
      </c>
      <c r="F118" s="7">
        <f>'Google Ads Data'!F118/'Google Ads Data'!D118</f>
        <v>1.190872147</v>
      </c>
      <c r="G118" s="5">
        <f>'Google Ads Data'!D118/'Google Ads Data'!E118</f>
        <v>112.6466667</v>
      </c>
      <c r="H118" s="5">
        <f>('Google Ads Data'!D118/'Google Ads Data'!B118)*1000</f>
        <v>38.27180068</v>
      </c>
    </row>
    <row r="119" ht="15.75" customHeight="1">
      <c r="A119" s="3">
        <v>45044.0</v>
      </c>
      <c r="B119" s="6">
        <f>'Google Ads Data'!C119/'Google Ads Data'!B119</f>
        <v>0.01109946646</v>
      </c>
      <c r="C119" s="6">
        <f>'Google Ads Data'!E119/'Google Ads Data'!C119</f>
        <v>0.01859799714</v>
      </c>
      <c r="D119" s="5">
        <f>'Google Ads Data'!D119/'Google Ads Data'!C119</f>
        <v>1.190042918</v>
      </c>
      <c r="E119" s="5">
        <f>'Google Ads Data'!F119/'Google Ads Data'!E119</f>
        <v>175.2961538</v>
      </c>
      <c r="F119" s="7">
        <f>'Google Ads Data'!F119/'Google Ads Data'!D119</f>
        <v>2.739529236</v>
      </c>
      <c r="G119" s="5">
        <f>'Google Ads Data'!D119/'Google Ads Data'!E119</f>
        <v>63.98769231</v>
      </c>
      <c r="H119" s="5">
        <f>('Google Ads Data'!D119/'Google Ads Data'!B119)*1000</f>
        <v>13.20884146</v>
      </c>
    </row>
    <row r="120" ht="15.75" customHeight="1">
      <c r="A120" s="3">
        <v>45045.0</v>
      </c>
      <c r="B120" s="6">
        <f>'Google Ads Data'!C120/'Google Ads Data'!B120</f>
        <v>0.02099227125</v>
      </c>
      <c r="C120" s="6">
        <f>'Google Ads Data'!E120/'Google Ads Data'!C120</f>
        <v>0.01781472684</v>
      </c>
      <c r="D120" s="5">
        <f>'Google Ads Data'!D120/'Google Ads Data'!C120</f>
        <v>1.310475059</v>
      </c>
      <c r="E120" s="5">
        <f>'Google Ads Data'!F120/'Google Ads Data'!E120</f>
        <v>134.6906667</v>
      </c>
      <c r="F120" s="7">
        <f>'Google Ads Data'!F120/'Google Ads Data'!D120</f>
        <v>1.830998169</v>
      </c>
      <c r="G120" s="5">
        <f>'Google Ads Data'!D120/'Google Ads Data'!E120</f>
        <v>73.56133333</v>
      </c>
      <c r="H120" s="5">
        <f>('Google Ads Data'!D120/'Google Ads Data'!B120)*1000</f>
        <v>27.50984792</v>
      </c>
    </row>
    <row r="121" ht="15.75" customHeight="1">
      <c r="A121" s="3">
        <v>45046.0</v>
      </c>
      <c r="B121" s="6">
        <f>'Google Ads Data'!C121/'Google Ads Data'!B121</f>
        <v>0.01998821623</v>
      </c>
      <c r="C121" s="6">
        <f>'Google Ads Data'!E121/'Google Ads Data'!C121</f>
        <v>0.01842299189</v>
      </c>
      <c r="D121" s="5">
        <f>'Google Ads Data'!D121/'Google Ads Data'!C121</f>
        <v>1.72100958</v>
      </c>
      <c r="E121" s="5">
        <f>'Google Ads Data'!F121/'Google Ads Data'!E121</f>
        <v>132.63</v>
      </c>
      <c r="F121" s="7">
        <f>'Google Ads Data'!F121/'Google Ads Data'!D121</f>
        <v>1.419772117</v>
      </c>
      <c r="G121" s="5">
        <f>'Google Ads Data'!D121/'Google Ads Data'!E121</f>
        <v>93.4164</v>
      </c>
      <c r="H121" s="5">
        <f>('Google Ads Data'!D121/'Google Ads Data'!B121)*1000</f>
        <v>34.39991162</v>
      </c>
    </row>
    <row r="122" ht="15.75" customHeight="1">
      <c r="A122" s="3">
        <v>45047.0</v>
      </c>
      <c r="B122" s="6">
        <f>'Google Ads Data'!C122/'Google Ads Data'!B122</f>
        <v>0.01728356089</v>
      </c>
      <c r="C122" s="6">
        <f>'Google Ads Data'!E122/'Google Ads Data'!C122</f>
        <v>0.01826484018</v>
      </c>
      <c r="D122" s="5">
        <f>'Google Ads Data'!D122/'Google Ads Data'!C122</f>
        <v>1.491415525</v>
      </c>
      <c r="E122" s="5">
        <f>'Google Ads Data'!F122/'Google Ads Data'!E122</f>
        <v>147.965</v>
      </c>
      <c r="F122" s="7">
        <f>'Google Ads Data'!F122/'Google Ads Data'!D122</f>
        <v>1.812075194</v>
      </c>
      <c r="G122" s="5">
        <f>'Google Ads Data'!D122/'Google Ads Data'!E122</f>
        <v>81.655</v>
      </c>
      <c r="H122" s="5">
        <f>('Google Ads Data'!D122/'Google Ads Data'!B122)*1000</f>
        <v>25.77697104</v>
      </c>
    </row>
    <row r="123" ht="15.75" customHeight="1">
      <c r="A123" s="3">
        <v>45048.0</v>
      </c>
      <c r="B123" s="6">
        <f>'Google Ads Data'!C123/'Google Ads Data'!B123</f>
        <v>0.01379105491</v>
      </c>
      <c r="C123" s="6">
        <f>'Google Ads Data'!E123/'Google Ads Data'!C123</f>
        <v>0.01846153846</v>
      </c>
      <c r="D123" s="5">
        <f>'Google Ads Data'!D123/'Google Ads Data'!C123</f>
        <v>1.340861538</v>
      </c>
      <c r="E123" s="5">
        <f>'Google Ads Data'!F123/'Google Ads Data'!E123</f>
        <v>112.0891667</v>
      </c>
      <c r="F123" s="7">
        <f>'Google Ads Data'!F123/'Google Ads Data'!D123</f>
        <v>1.543290192</v>
      </c>
      <c r="G123" s="5">
        <f>'Google Ads Data'!D123/'Google Ads Data'!E123</f>
        <v>72.63</v>
      </c>
      <c r="H123" s="5">
        <f>('Google Ads Data'!D123/'Google Ads Data'!B123)*1000</f>
        <v>18.4918951</v>
      </c>
    </row>
    <row r="124" ht="15.75" customHeight="1">
      <c r="A124" s="3">
        <v>45049.0</v>
      </c>
      <c r="B124" s="6">
        <f>'Google Ads Data'!C124/'Google Ads Data'!B124</f>
        <v>0.02309682188</v>
      </c>
      <c r="C124" s="6">
        <f>'Google Ads Data'!E124/'Google Ads Data'!C124</f>
        <v>0.01963636364</v>
      </c>
      <c r="D124" s="5">
        <f>'Google Ads Data'!D124/'Google Ads Data'!C124</f>
        <v>1.610218182</v>
      </c>
      <c r="E124" s="5">
        <f>'Google Ads Data'!F124/'Google Ads Data'!E124</f>
        <v>131.0403704</v>
      </c>
      <c r="F124" s="7">
        <f>'Google Ads Data'!F124/'Google Ads Data'!D124</f>
        <v>1.598017208</v>
      </c>
      <c r="G124" s="5">
        <f>'Google Ads Data'!D124/'Google Ads Data'!E124</f>
        <v>82.00185185</v>
      </c>
      <c r="H124" s="5">
        <f>('Google Ads Data'!D124/'Google Ads Data'!B124)*1000</f>
        <v>37.19092253</v>
      </c>
    </row>
    <row r="125" ht="15.75" customHeight="1">
      <c r="A125" s="3">
        <v>45050.0</v>
      </c>
      <c r="B125" s="6">
        <f>'Google Ads Data'!C125/'Google Ads Data'!B125</f>
        <v>0.02588959415</v>
      </c>
      <c r="C125" s="6">
        <f>'Google Ads Data'!E125/'Google Ads Data'!C125</f>
        <v>0.02080237741</v>
      </c>
      <c r="D125" s="5">
        <f>'Google Ads Data'!D125/'Google Ads Data'!C125</f>
        <v>1.540616642</v>
      </c>
      <c r="E125" s="5">
        <f>'Google Ads Data'!F125/'Google Ads Data'!E125</f>
        <v>165.6246429</v>
      </c>
      <c r="F125" s="7">
        <f>'Google Ads Data'!F125/'Google Ads Data'!D125</f>
        <v>2.236368371</v>
      </c>
      <c r="G125" s="5">
        <f>'Google Ads Data'!D125/'Google Ads Data'!E125</f>
        <v>74.05964286</v>
      </c>
      <c r="H125" s="5">
        <f>('Google Ads Data'!D125/'Google Ads Data'!B125)*1000</f>
        <v>39.8859396</v>
      </c>
    </row>
    <row r="126" ht="15.75" customHeight="1">
      <c r="A126" s="3">
        <v>45051.0</v>
      </c>
      <c r="B126" s="6">
        <f>'Google Ads Data'!C126/'Google Ads Data'!B126</f>
        <v>0.01979986026</v>
      </c>
      <c r="C126" s="6">
        <f>'Google Ads Data'!E126/'Google Ads Data'!C126</f>
        <v>0.02447353443</v>
      </c>
      <c r="D126" s="5">
        <f>'Google Ads Data'!D126/'Google Ads Data'!C126</f>
        <v>1.740011383</v>
      </c>
      <c r="E126" s="5">
        <f>'Google Ads Data'!F126/'Google Ads Data'!E126</f>
        <v>168.8939535</v>
      </c>
      <c r="F126" s="7">
        <f>'Google Ads Data'!F126/'Google Ads Data'!D126</f>
        <v>2.375520084</v>
      </c>
      <c r="G126" s="5">
        <f>'Google Ads Data'!D126/'Google Ads Data'!E126</f>
        <v>71.09767442</v>
      </c>
      <c r="H126" s="5">
        <f>('Google Ads Data'!D126/'Google Ads Data'!B126)*1000</f>
        <v>34.45198224</v>
      </c>
    </row>
    <row r="127" ht="15.75" customHeight="1">
      <c r="A127" s="3">
        <v>45052.0</v>
      </c>
      <c r="B127" s="6">
        <f>'Google Ads Data'!C127/'Google Ads Data'!B127</f>
        <v>0.01808221353</v>
      </c>
      <c r="C127" s="6">
        <f>'Google Ads Data'!E127/'Google Ads Data'!C127</f>
        <v>0.01866081229</v>
      </c>
      <c r="D127" s="5">
        <f>'Google Ads Data'!D127/'Google Ads Data'!C127</f>
        <v>1.061031833</v>
      </c>
      <c r="E127" s="5">
        <f>'Google Ads Data'!F127/'Google Ads Data'!E127</f>
        <v>161.6952941</v>
      </c>
      <c r="F127" s="7">
        <f>'Google Ads Data'!F127/'Google Ads Data'!D127</f>
        <v>2.843803021</v>
      </c>
      <c r="G127" s="5">
        <f>'Google Ads Data'!D127/'Google Ads Data'!E127</f>
        <v>56.85882353</v>
      </c>
      <c r="H127" s="5">
        <f>('Google Ads Data'!D127/'Google Ads Data'!B127)*1000</f>
        <v>19.18580417</v>
      </c>
    </row>
    <row r="128" ht="15.75" customHeight="1">
      <c r="A128" s="3">
        <v>45053.0</v>
      </c>
      <c r="B128" s="6">
        <f>'Google Ads Data'!C128/'Google Ads Data'!B128</f>
        <v>0.02559891261</v>
      </c>
      <c r="C128" s="6">
        <f>'Google Ads Data'!E128/'Google Ads Data'!C128</f>
        <v>0.01438053097</v>
      </c>
      <c r="D128" s="5">
        <f>'Google Ads Data'!D128/'Google Ads Data'!C128</f>
        <v>1.970082965</v>
      </c>
      <c r="E128" s="5">
        <f>'Google Ads Data'!F128/'Google Ads Data'!E128</f>
        <v>115.2719231</v>
      </c>
      <c r="F128" s="7">
        <f>'Google Ads Data'!F128/'Google Ads Data'!D128</f>
        <v>0.8414221583</v>
      </c>
      <c r="G128" s="5">
        <f>'Google Ads Data'!D128/'Google Ads Data'!E128</f>
        <v>136.9965385</v>
      </c>
      <c r="H128" s="5">
        <f>('Google Ads Data'!D128/'Google Ads Data'!B128)*1000</f>
        <v>50.43198165</v>
      </c>
    </row>
    <row r="129" ht="15.75" customHeight="1">
      <c r="A129" s="3">
        <v>45054.0</v>
      </c>
      <c r="B129" s="6">
        <f>'Google Ads Data'!C129/'Google Ads Data'!B129</f>
        <v>0.02059806667</v>
      </c>
      <c r="C129" s="6">
        <f>'Google Ads Data'!E129/'Google Ads Data'!C129</f>
        <v>0.01315789474</v>
      </c>
      <c r="D129" s="5">
        <f>'Google Ads Data'!D129/'Google Ads Data'!C129</f>
        <v>1.260109649</v>
      </c>
      <c r="E129" s="5">
        <f>'Google Ads Data'!F129/'Google Ads Data'!E129</f>
        <v>163.3233333</v>
      </c>
      <c r="F129" s="7">
        <f>'Google Ads Data'!F129/'Google Ads Data'!D129</f>
        <v>1.705400184</v>
      </c>
      <c r="G129" s="5">
        <f>'Google Ads Data'!D129/'Google Ads Data'!E129</f>
        <v>95.76833333</v>
      </c>
      <c r="H129" s="5">
        <f>('Google Ads Data'!D129/'Google Ads Data'!B129)*1000</f>
        <v>25.95582257</v>
      </c>
    </row>
    <row r="130" ht="15.75" customHeight="1">
      <c r="A130" s="3">
        <v>45055.0</v>
      </c>
      <c r="B130" s="6">
        <f>'Google Ads Data'!C130/'Google Ads Data'!B130</f>
        <v>0.0249987278</v>
      </c>
      <c r="C130" s="6">
        <f>'Google Ads Data'!E130/'Google Ads Data'!C130</f>
        <v>0.02290076336</v>
      </c>
      <c r="D130" s="5">
        <f>'Google Ads Data'!D130/'Google Ads Data'!C130</f>
        <v>1.220061069</v>
      </c>
      <c r="E130" s="5">
        <f>'Google Ads Data'!F130/'Google Ads Data'!E130</f>
        <v>151.3126667</v>
      </c>
      <c r="F130" s="7">
        <f>'Google Ads Data'!F130/'Google Ads Data'!D130</f>
        <v>2.840165678</v>
      </c>
      <c r="G130" s="5">
        <f>'Google Ads Data'!D130/'Google Ads Data'!E130</f>
        <v>53.276</v>
      </c>
      <c r="H130" s="5">
        <f>('Google Ads Data'!D130/'Google Ads Data'!B130)*1000</f>
        <v>30.49997456</v>
      </c>
    </row>
    <row r="131" ht="15.75" customHeight="1">
      <c r="A131" s="3">
        <v>45056.0</v>
      </c>
      <c r="B131" s="6">
        <f>'Google Ads Data'!C131/'Google Ads Data'!B131</f>
        <v>0.02818952212</v>
      </c>
      <c r="C131" s="6">
        <f>'Google Ads Data'!E131/'Google Ads Data'!C131</f>
        <v>0.02066115702</v>
      </c>
      <c r="D131" s="5">
        <f>'Google Ads Data'!D131/'Google Ads Data'!C131</f>
        <v>1.95072314</v>
      </c>
      <c r="E131" s="5">
        <f>'Google Ads Data'!F131/'Google Ads Data'!E131</f>
        <v>145.3265</v>
      </c>
      <c r="F131" s="7">
        <f>'Google Ads Data'!F131/'Google Ads Data'!D131</f>
        <v>1.539231054</v>
      </c>
      <c r="G131" s="5">
        <f>'Google Ads Data'!D131/'Google Ads Data'!E131</f>
        <v>94.415</v>
      </c>
      <c r="H131" s="5">
        <f>('Google Ads Data'!D131/'Google Ads Data'!B131)*1000</f>
        <v>54.98995311</v>
      </c>
    </row>
    <row r="132" ht="15.75" customHeight="1">
      <c r="A132" s="3">
        <v>45057.0</v>
      </c>
      <c r="B132" s="6">
        <f>'Google Ads Data'!C132/'Google Ads Data'!B132</f>
        <v>0.02129026338</v>
      </c>
      <c r="C132" s="6">
        <f>'Google Ads Data'!E132/'Google Ads Data'!C132</f>
        <v>0.01724137931</v>
      </c>
      <c r="D132" s="5">
        <f>'Google Ads Data'!D132/'Google Ads Data'!C132</f>
        <v>1.990905172</v>
      </c>
      <c r="E132" s="5">
        <f>'Google Ads Data'!F132/'Google Ads Data'!E132</f>
        <v>111.945</v>
      </c>
      <c r="F132" s="7">
        <f>'Google Ads Data'!F132/'Google Ads Data'!D132</f>
        <v>0.969451601</v>
      </c>
      <c r="G132" s="5">
        <f>'Google Ads Data'!D132/'Google Ads Data'!E132</f>
        <v>115.4725</v>
      </c>
      <c r="H132" s="5">
        <f>('Google Ads Data'!D132/'Google Ads Data'!B132)*1000</f>
        <v>42.38689548</v>
      </c>
    </row>
    <row r="133" ht="15.75" customHeight="1">
      <c r="A133" s="3">
        <v>45058.0</v>
      </c>
      <c r="B133" s="6">
        <f>'Google Ads Data'!C133/'Google Ads Data'!B133</f>
        <v>0.02567726737</v>
      </c>
      <c r="C133" s="6">
        <f>'Google Ads Data'!E133/'Google Ads Data'!C133</f>
        <v>0.01441677588</v>
      </c>
      <c r="D133" s="5">
        <f>'Google Ads Data'!D133/'Google Ads Data'!C133</f>
        <v>1.691494102</v>
      </c>
      <c r="E133" s="5">
        <f>'Google Ads Data'!F133/'Google Ads Data'!E133</f>
        <v>214.44</v>
      </c>
      <c r="F133" s="7">
        <f>'Google Ads Data'!F133/'Google Ads Data'!D133</f>
        <v>1.827693881</v>
      </c>
      <c r="G133" s="5">
        <f>'Google Ads Data'!D133/'Google Ads Data'!E133</f>
        <v>117.3281818</v>
      </c>
      <c r="H133" s="5">
        <f>('Google Ads Data'!D133/'Google Ads Data'!B133)*1000</f>
        <v>43.43294632</v>
      </c>
    </row>
    <row r="134" ht="15.75" customHeight="1">
      <c r="A134" s="3">
        <v>45059.0</v>
      </c>
      <c r="B134" s="6">
        <f>'Google Ads Data'!C134/'Google Ads Data'!B134</f>
        <v>0.01719082261</v>
      </c>
      <c r="C134" s="6">
        <f>'Google Ads Data'!E134/'Google Ads Data'!C134</f>
        <v>0.01692708333</v>
      </c>
      <c r="D134" s="5">
        <f>'Google Ads Data'!D134/'Google Ads Data'!C134</f>
        <v>1.390729167</v>
      </c>
      <c r="E134" s="5">
        <f>'Google Ads Data'!F134/'Google Ads Data'!E134</f>
        <v>133.4376923</v>
      </c>
      <c r="F134" s="7">
        <f>'Google Ads Data'!F134/'Google Ads Data'!D134</f>
        <v>1.624119916</v>
      </c>
      <c r="G134" s="5">
        <f>'Google Ads Data'!D134/'Google Ads Data'!E134</f>
        <v>82.16</v>
      </c>
      <c r="H134" s="5">
        <f>('Google Ads Data'!D134/'Google Ads Data'!B134)*1000</f>
        <v>23.9077784</v>
      </c>
    </row>
    <row r="135" ht="15.75" customHeight="1">
      <c r="A135" s="3">
        <v>45060.0</v>
      </c>
      <c r="B135" s="6">
        <f>'Google Ads Data'!C135/'Google Ads Data'!B135</f>
        <v>0.01539301752</v>
      </c>
      <c r="C135" s="6">
        <f>'Google Ads Data'!E135/'Google Ads Data'!C135</f>
        <v>0.01314060447</v>
      </c>
      <c r="D135" s="5">
        <f>'Google Ads Data'!D135/'Google Ads Data'!C135</f>
        <v>1.95088042</v>
      </c>
      <c r="E135" s="5">
        <f>'Google Ads Data'!F135/'Google Ads Data'!E135</f>
        <v>106.3905</v>
      </c>
      <c r="F135" s="7">
        <f>'Google Ads Data'!F135/'Google Ads Data'!D135</f>
        <v>0.7166177204</v>
      </c>
      <c r="G135" s="5">
        <f>'Google Ads Data'!D135/'Google Ads Data'!E135</f>
        <v>148.462</v>
      </c>
      <c r="H135" s="5">
        <f>('Google Ads Data'!D135/'Google Ads Data'!B135)*1000</f>
        <v>30.02993649</v>
      </c>
    </row>
    <row r="136" ht="15.75" customHeight="1">
      <c r="A136" s="3">
        <v>45061.0</v>
      </c>
      <c r="B136" s="6">
        <f>'Google Ads Data'!C136/'Google Ads Data'!B136</f>
        <v>0.02025419302</v>
      </c>
      <c r="C136" s="6">
        <f>'Google Ads Data'!E136/'Google Ads Data'!C136</f>
        <v>0.0229226361</v>
      </c>
      <c r="D136" s="5">
        <f>'Google Ads Data'!D136/'Google Ads Data'!C136</f>
        <v>1.032320917</v>
      </c>
      <c r="E136" s="5">
        <f>'Google Ads Data'!F136/'Google Ads Data'!E136</f>
        <v>115.08125</v>
      </c>
      <c r="F136" s="7">
        <f>'Google Ads Data'!F136/'Google Ads Data'!D136</f>
        <v>2.555373598</v>
      </c>
      <c r="G136" s="5">
        <f>'Google Ads Data'!D136/'Google Ads Data'!E136</f>
        <v>45.035</v>
      </c>
      <c r="H136" s="5">
        <f>('Google Ads Data'!D136/'Google Ads Data'!B136)*1000</f>
        <v>20.90882711</v>
      </c>
    </row>
    <row r="137" ht="15.75" customHeight="1">
      <c r="A137" s="3">
        <v>45062.0</v>
      </c>
      <c r="B137" s="6">
        <f>'Google Ads Data'!C137/'Google Ads Data'!B137</f>
        <v>0.02039799285</v>
      </c>
      <c r="C137" s="6">
        <f>'Google Ads Data'!E137/'Google Ads Data'!C137</f>
        <v>0.02443133951</v>
      </c>
      <c r="D137" s="5">
        <f>'Google Ads Data'!D137/'Google Ads Data'!C137</f>
        <v>1.250117944</v>
      </c>
      <c r="E137" s="5">
        <f>'Google Ads Data'!F137/'Google Ads Data'!E137</f>
        <v>161.6934483</v>
      </c>
      <c r="F137" s="7">
        <f>'Google Ads Data'!F137/'Google Ads Data'!D137</f>
        <v>3.160011861</v>
      </c>
      <c r="G137" s="5">
        <f>'Google Ads Data'!D137/'Google Ads Data'!E137</f>
        <v>51.16862069</v>
      </c>
      <c r="H137" s="5">
        <f>('Google Ads Data'!D137/'Google Ads Data'!B137)*1000</f>
        <v>25.49989689</v>
      </c>
    </row>
    <row r="138" ht="15.75" customHeight="1">
      <c r="A138" s="3">
        <v>45063.0</v>
      </c>
      <c r="B138" s="6">
        <f>'Google Ads Data'!C138/'Google Ads Data'!B138</f>
        <v>0.02088317062</v>
      </c>
      <c r="C138" s="6">
        <f>'Google Ads Data'!E138/'Google Ads Data'!C138</f>
        <v>0.01547987616</v>
      </c>
      <c r="D138" s="5">
        <f>'Google Ads Data'!D138/'Google Ads Data'!C138</f>
        <v>1.341073271</v>
      </c>
      <c r="E138" s="5">
        <f>'Google Ads Data'!F138/'Google Ads Data'!E138</f>
        <v>130.3386667</v>
      </c>
      <c r="F138" s="7">
        <f>'Google Ads Data'!F138/'Google Ads Data'!D138</f>
        <v>1.504486341</v>
      </c>
      <c r="G138" s="5">
        <f>'Google Ads Data'!D138/'Google Ads Data'!E138</f>
        <v>86.63333333</v>
      </c>
      <c r="H138" s="5">
        <f>('Google Ads Data'!D138/'Google Ads Data'!B138)*1000</f>
        <v>28.00586194</v>
      </c>
    </row>
    <row r="139" ht="15.75" customHeight="1">
      <c r="A139" s="3">
        <v>45064.0</v>
      </c>
      <c r="B139" s="6">
        <f>'Google Ads Data'!C139/'Google Ads Data'!B139</f>
        <v>0.01529624371</v>
      </c>
      <c r="C139" s="6">
        <f>'Google Ads Data'!E139/'Google Ads Data'!C139</f>
        <v>0.02390998594</v>
      </c>
      <c r="D139" s="5">
        <f>'Google Ads Data'!D139/'Google Ads Data'!C139</f>
        <v>1.740421941</v>
      </c>
      <c r="E139" s="5">
        <f>'Google Ads Data'!F139/'Google Ads Data'!E139</f>
        <v>169.7658824</v>
      </c>
      <c r="F139" s="7">
        <f>'Google Ads Data'!F139/'Google Ads Data'!D139</f>
        <v>2.332250453</v>
      </c>
      <c r="G139" s="5">
        <f>'Google Ads Data'!D139/'Google Ads Data'!E139</f>
        <v>72.79058824</v>
      </c>
      <c r="H139" s="5">
        <f>('Google Ads Data'!D139/'Google Ads Data'!B139)*1000</f>
        <v>26.62191816</v>
      </c>
    </row>
    <row r="140" ht="15.75" customHeight="1">
      <c r="A140" s="3">
        <v>45065.0</v>
      </c>
      <c r="B140" s="6">
        <f>'Google Ads Data'!C140/'Google Ads Data'!B140</f>
        <v>0.02798670364</v>
      </c>
      <c r="C140" s="6">
        <f>'Google Ads Data'!E140/'Google Ads Data'!C140</f>
        <v>0.02298850575</v>
      </c>
      <c r="D140" s="5">
        <f>'Google Ads Data'!D140/'Google Ads Data'!C140</f>
        <v>1.320623974</v>
      </c>
      <c r="E140" s="5">
        <f>'Google Ads Data'!F140/'Google Ads Data'!E140</f>
        <v>158.5197619</v>
      </c>
      <c r="F140" s="7">
        <f>'Google Ads Data'!F140/'Google Ads Data'!D140</f>
        <v>2.759402018</v>
      </c>
      <c r="G140" s="5">
        <f>'Google Ads Data'!D140/'Google Ads Data'!E140</f>
        <v>57.44714286</v>
      </c>
      <c r="H140" s="5">
        <f>('Google Ads Data'!D140/'Google Ads Data'!B140)*1000</f>
        <v>36.95991177</v>
      </c>
    </row>
    <row r="141" ht="15.75" customHeight="1">
      <c r="A141" s="3">
        <v>45066.0</v>
      </c>
      <c r="B141" s="6">
        <f>'Google Ads Data'!C141/'Google Ads Data'!B141</f>
        <v>0.01018770758</v>
      </c>
      <c r="C141" s="6">
        <f>'Google Ads Data'!E141/'Google Ads Data'!C141</f>
        <v>0.01343101343</v>
      </c>
      <c r="D141" s="5">
        <f>'Google Ads Data'!D141/'Google Ads Data'!C141</f>
        <v>1.211452991</v>
      </c>
      <c r="E141" s="5">
        <f>'Google Ads Data'!F141/'Google Ads Data'!E141</f>
        <v>107.7609091</v>
      </c>
      <c r="F141" s="7">
        <f>'Google Ads Data'!F141/'Google Ads Data'!D141</f>
        <v>1.194712653</v>
      </c>
      <c r="G141" s="5">
        <f>'Google Ads Data'!D141/'Google Ads Data'!E141</f>
        <v>90.19818182</v>
      </c>
      <c r="H141" s="5">
        <f>('Google Ads Data'!D141/'Google Ads Data'!B141)*1000</f>
        <v>12.34192882</v>
      </c>
    </row>
    <row r="142" ht="15.75" customHeight="1">
      <c r="A142" s="3">
        <v>45067.0</v>
      </c>
      <c r="B142" s="6">
        <f>'Google Ads Data'!C142/'Google Ads Data'!B142</f>
        <v>0.01278928826</v>
      </c>
      <c r="C142" s="6">
        <f>'Google Ads Data'!E142/'Google Ads Data'!C142</f>
        <v>0.02214348981</v>
      </c>
      <c r="D142" s="5">
        <f>'Google Ads Data'!D142/'Google Ads Data'!C142</f>
        <v>1.441204606</v>
      </c>
      <c r="E142" s="5">
        <f>'Google Ads Data'!F142/'Google Ads Data'!E142</f>
        <v>184.2624</v>
      </c>
      <c r="F142" s="7">
        <f>'Google Ads Data'!F142/'Google Ads Data'!D142</f>
        <v>2.831112641</v>
      </c>
      <c r="G142" s="5">
        <f>'Google Ads Data'!D142/'Google Ads Data'!E142</f>
        <v>65.0848</v>
      </c>
      <c r="H142" s="5">
        <f>('Google Ads Data'!D142/'Google Ads Data'!B142)*1000</f>
        <v>18.43198115</v>
      </c>
    </row>
    <row r="143" ht="15.75" customHeight="1">
      <c r="A143" s="3">
        <v>45068.0</v>
      </c>
      <c r="B143" s="6">
        <f>'Google Ads Data'!C143/'Google Ads Data'!B143</f>
        <v>0.01038378468</v>
      </c>
      <c r="C143" s="6">
        <f>'Google Ads Data'!E143/'Google Ads Data'!C143</f>
        <v>0.0224</v>
      </c>
      <c r="D143" s="5">
        <f>'Google Ads Data'!D143/'Google Ads Data'!C143</f>
        <v>1.943024</v>
      </c>
      <c r="E143" s="5">
        <f>'Google Ads Data'!F143/'Google Ads Data'!E143</f>
        <v>152.8635714</v>
      </c>
      <c r="F143" s="7">
        <f>'Google Ads Data'!F143/'Google Ads Data'!D143</f>
        <v>1.76227571</v>
      </c>
      <c r="G143" s="5">
        <f>'Google Ads Data'!D143/'Google Ads Data'!E143</f>
        <v>86.74214286</v>
      </c>
      <c r="H143" s="5">
        <f>('Google Ads Data'!D143/'Google Ads Data'!B143)*1000</f>
        <v>20.17594285</v>
      </c>
    </row>
    <row r="144" ht="15.75" customHeight="1">
      <c r="A144" s="3">
        <v>45069.0</v>
      </c>
      <c r="B144" s="6">
        <f>'Google Ads Data'!C144/'Google Ads Data'!B144</f>
        <v>0.01488999879</v>
      </c>
      <c r="C144" s="6">
        <f>'Google Ads Data'!E144/'Google Ads Data'!C144</f>
        <v>0.01708633094</v>
      </c>
      <c r="D144" s="5">
        <f>'Google Ads Data'!D144/'Google Ads Data'!C144</f>
        <v>1.601070144</v>
      </c>
      <c r="E144" s="5">
        <f>'Google Ads Data'!F144/'Google Ads Data'!E144</f>
        <v>174.2563158</v>
      </c>
      <c r="F144" s="7">
        <f>'Google Ads Data'!F144/'Google Ads Data'!D144</f>
        <v>1.859631878</v>
      </c>
      <c r="G144" s="5">
        <f>'Google Ads Data'!D144/'Google Ads Data'!E144</f>
        <v>93.70473684</v>
      </c>
      <c r="H144" s="5">
        <f>('Google Ads Data'!D144/'Google Ads Data'!B144)*1000</f>
        <v>23.83993251</v>
      </c>
    </row>
    <row r="145" ht="15.75" customHeight="1">
      <c r="A145" s="3">
        <v>45070.0</v>
      </c>
      <c r="B145" s="6">
        <f>'Google Ads Data'!C145/'Google Ads Data'!B145</f>
        <v>0.01139935316</v>
      </c>
      <c r="C145" s="6">
        <f>'Google Ads Data'!E145/'Google Ads Data'!C145</f>
        <v>0.01698301698</v>
      </c>
      <c r="D145" s="5">
        <f>'Google Ads Data'!D145/'Google Ads Data'!C145</f>
        <v>1.47007992</v>
      </c>
      <c r="E145" s="5">
        <f>'Google Ads Data'!F145/'Google Ads Data'!E145</f>
        <v>151.4835294</v>
      </c>
      <c r="F145" s="7">
        <f>'Google Ads Data'!F145/'Google Ads Data'!D145</f>
        <v>1.750005097</v>
      </c>
      <c r="G145" s="5">
        <f>'Google Ads Data'!D145/'Google Ads Data'!E145</f>
        <v>86.56176471</v>
      </c>
      <c r="H145" s="5">
        <f>('Google Ads Data'!D145/'Google Ads Data'!B145)*1000</f>
        <v>16.75796019</v>
      </c>
    </row>
    <row r="146" ht="15.75" customHeight="1">
      <c r="A146" s="3">
        <v>45071.0</v>
      </c>
      <c r="B146" s="6">
        <f>'Google Ads Data'!C146/'Google Ads Data'!B146</f>
        <v>0.02798842472</v>
      </c>
      <c r="C146" s="6">
        <f>'Google Ads Data'!E146/'Google Ads Data'!C146</f>
        <v>0.01378579003</v>
      </c>
      <c r="D146" s="5">
        <f>'Google Ads Data'!D146/'Google Ads Data'!C146</f>
        <v>1.800742312</v>
      </c>
      <c r="E146" s="5">
        <f>'Google Ads Data'!F146/'Google Ads Data'!E146</f>
        <v>138.1342308</v>
      </c>
      <c r="F146" s="7">
        <f>'Google Ads Data'!F146/'Google Ads Data'!D146</f>
        <v>1.057502503</v>
      </c>
      <c r="G146" s="5">
        <f>'Google Ads Data'!D146/'Google Ads Data'!E146</f>
        <v>130.6230769</v>
      </c>
      <c r="H146" s="5">
        <f>('Google Ads Data'!D146/'Google Ads Data'!B146)*1000</f>
        <v>50.39994064</v>
      </c>
    </row>
    <row r="147" ht="15.75" customHeight="1">
      <c r="A147" s="3">
        <v>45072.0</v>
      </c>
      <c r="B147" s="6">
        <f>'Google Ads Data'!C147/'Google Ads Data'!B147</f>
        <v>0.02588996764</v>
      </c>
      <c r="C147" s="6">
        <f>'Google Ads Data'!E147/'Google Ads Data'!C147</f>
        <v>0.02126556017</v>
      </c>
      <c r="D147" s="5">
        <f>'Google Ads Data'!D147/'Google Ads Data'!C147</f>
        <v>1.970762448</v>
      </c>
      <c r="E147" s="5">
        <f>'Google Ads Data'!F147/'Google Ads Data'!E147</f>
        <v>155.0336585</v>
      </c>
      <c r="F147" s="7">
        <f>'Google Ads Data'!F147/'Google Ads Data'!D147</f>
        <v>1.672894466</v>
      </c>
      <c r="G147" s="5">
        <f>'Google Ads Data'!D147/'Google Ads Data'!E147</f>
        <v>92.67390244</v>
      </c>
      <c r="H147" s="5">
        <f>('Google Ads Data'!D147/'Google Ads Data'!B147)*1000</f>
        <v>51.022976</v>
      </c>
    </row>
    <row r="148" ht="15.75" customHeight="1">
      <c r="A148" s="3">
        <v>45073.0</v>
      </c>
      <c r="B148" s="6">
        <f>'Google Ads Data'!C148/'Google Ads Data'!B148</f>
        <v>0.02108764648</v>
      </c>
      <c r="C148" s="6">
        <f>'Google Ads Data'!E148/'Google Ads Data'!C148</f>
        <v>0.01302460203</v>
      </c>
      <c r="D148" s="5">
        <f>'Google Ads Data'!D148/'Google Ads Data'!C148</f>
        <v>1.300752533</v>
      </c>
      <c r="E148" s="5">
        <f>'Google Ads Data'!F148/'Google Ads Data'!E148</f>
        <v>190.8277778</v>
      </c>
      <c r="F148" s="7">
        <f>'Google Ads Data'!F148/'Google Ads Data'!D148</f>
        <v>1.910783027</v>
      </c>
      <c r="G148" s="5">
        <f>'Google Ads Data'!D148/'Google Ads Data'!E148</f>
        <v>99.86888889</v>
      </c>
      <c r="H148" s="5">
        <f>('Google Ads Data'!D148/'Google Ads Data'!B148)*1000</f>
        <v>27.42980957</v>
      </c>
    </row>
    <row r="149" ht="15.75" customHeight="1">
      <c r="A149" s="3">
        <v>45074.0</v>
      </c>
      <c r="B149" s="6">
        <f>'Google Ads Data'!C149/'Google Ads Data'!B149</f>
        <v>0.02729541437</v>
      </c>
      <c r="C149" s="6">
        <f>'Google Ads Data'!E149/'Google Ads Data'!C149</f>
        <v>0.0219047619</v>
      </c>
      <c r="D149" s="5">
        <f>'Google Ads Data'!D149/'Google Ads Data'!C149</f>
        <v>1.710285714</v>
      </c>
      <c r="E149" s="5">
        <f>'Google Ads Data'!F149/'Google Ads Data'!E149</f>
        <v>181.8173913</v>
      </c>
      <c r="F149" s="7">
        <f>'Google Ads Data'!F149/'Google Ads Data'!D149</f>
        <v>2.328655752</v>
      </c>
      <c r="G149" s="5">
        <f>'Google Ads Data'!D149/'Google Ads Data'!E149</f>
        <v>78.07826087</v>
      </c>
      <c r="H149" s="5">
        <f>('Google Ads Data'!D149/'Google Ads Data'!B149)*1000</f>
        <v>46.68295726</v>
      </c>
    </row>
    <row r="150" ht="15.75" customHeight="1">
      <c r="A150" s="3">
        <v>45075.0</v>
      </c>
      <c r="B150" s="6">
        <f>'Google Ads Data'!C150/'Google Ads Data'!B150</f>
        <v>0.02119650684</v>
      </c>
      <c r="C150" s="6">
        <f>'Google Ads Data'!E150/'Google Ads Data'!C150</f>
        <v>0.02367797948</v>
      </c>
      <c r="D150" s="5">
        <f>'Google Ads Data'!D150/'Google Ads Data'!C150</f>
        <v>1.000157853</v>
      </c>
      <c r="E150" s="5">
        <f>'Google Ads Data'!F150/'Google Ads Data'!E150</f>
        <v>127.777</v>
      </c>
      <c r="F150" s="7">
        <f>'Google Ads Data'!F150/'Google Ads Data'!D150</f>
        <v>3.025023674</v>
      </c>
      <c r="G150" s="5">
        <f>'Google Ads Data'!D150/'Google Ads Data'!E150</f>
        <v>42.24</v>
      </c>
      <c r="H150" s="5">
        <f>('Google Ads Data'!D150/'Google Ads Data'!B150)*1000</f>
        <v>21.19985278</v>
      </c>
    </row>
    <row r="151" ht="15.75" customHeight="1">
      <c r="A151" s="3">
        <v>45076.0</v>
      </c>
      <c r="B151" s="6">
        <f>'Google Ads Data'!C151/'Google Ads Data'!B151</f>
        <v>0.0277992278</v>
      </c>
      <c r="C151" s="6">
        <f>'Google Ads Data'!E151/'Google Ads Data'!C151</f>
        <v>0.01736111111</v>
      </c>
      <c r="D151" s="5">
        <f>'Google Ads Data'!D151/'Google Ads Data'!C151</f>
        <v>1.800043403</v>
      </c>
      <c r="E151" s="5">
        <f>'Google Ads Data'!F151/'Google Ads Data'!E151</f>
        <v>192.758</v>
      </c>
      <c r="F151" s="7">
        <f>'Google Ads Data'!F151/'Google Ads Data'!D151</f>
        <v>1.85911798</v>
      </c>
      <c r="G151" s="5">
        <f>'Google Ads Data'!D151/'Google Ads Data'!E151</f>
        <v>103.6825</v>
      </c>
      <c r="H151" s="5">
        <f>('Google Ads Data'!D151/'Google Ads Data'!B151)*1000</f>
        <v>50.0398166</v>
      </c>
    </row>
    <row r="152" ht="15.75" customHeight="1">
      <c r="A152" s="3">
        <v>45077.0</v>
      </c>
      <c r="B152" s="6">
        <f>'Google Ads Data'!C152/'Google Ads Data'!B152</f>
        <v>0.01339671564</v>
      </c>
      <c r="C152" s="6">
        <f>'Google Ads Data'!E152/'Google Ads Data'!C152</f>
        <v>0.01290322581</v>
      </c>
      <c r="D152" s="5">
        <f>'Google Ads Data'!D152/'Google Ads Data'!C152</f>
        <v>1.300290323</v>
      </c>
      <c r="E152" s="5">
        <f>'Google Ads Data'!F152/'Google Ads Data'!E152</f>
        <v>164.1225</v>
      </c>
      <c r="F152" s="7">
        <f>'Google Ads Data'!F152/'Google Ads Data'!D152</f>
        <v>1.628643727</v>
      </c>
      <c r="G152" s="5">
        <f>'Google Ads Data'!D152/'Google Ads Data'!E152</f>
        <v>100.7725</v>
      </c>
      <c r="H152" s="5">
        <f>('Google Ads Data'!D152/'Google Ads Data'!B152)*1000</f>
        <v>17.41961971</v>
      </c>
    </row>
    <row r="153" ht="15.75" customHeight="1">
      <c r="A153" s="3">
        <v>45078.0</v>
      </c>
      <c r="B153" s="6">
        <f>'Google Ads Data'!C153/'Google Ads Data'!B153</f>
        <v>0.02229845626</v>
      </c>
      <c r="C153" s="6">
        <f>'Google Ads Data'!E153/'Google Ads Data'!C153</f>
        <v>0.01690617075</v>
      </c>
      <c r="D153" s="5">
        <f>'Google Ads Data'!D153/'Google Ads Data'!C153</f>
        <v>1.100076078</v>
      </c>
      <c r="E153" s="5">
        <f>'Google Ads Data'!F153/'Google Ads Data'!E153</f>
        <v>135.0665</v>
      </c>
      <c r="F153" s="7">
        <f>'Google Ads Data'!F153/'Google Ads Data'!D153</f>
        <v>2.075726723</v>
      </c>
      <c r="G153" s="5">
        <f>'Google Ads Data'!D153/'Google Ads Data'!E153</f>
        <v>65.0695</v>
      </c>
      <c r="H153" s="5">
        <f>('Google Ads Data'!D153/'Google Ads Data'!B153)*1000</f>
        <v>24.5299983</v>
      </c>
    </row>
    <row r="154" ht="15.75" customHeight="1">
      <c r="A154" s="3">
        <v>45079.0</v>
      </c>
      <c r="B154" s="6">
        <f>'Google Ads Data'!C154/'Google Ads Data'!B154</f>
        <v>0.01789688137</v>
      </c>
      <c r="C154" s="6">
        <f>'Google Ads Data'!E154/'Google Ads Data'!C154</f>
        <v>0.02276707531</v>
      </c>
      <c r="D154" s="5">
        <f>'Google Ads Data'!D154/'Google Ads Data'!C154</f>
        <v>1.92033275</v>
      </c>
      <c r="E154" s="5">
        <f>'Google Ads Data'!F154/'Google Ads Data'!E154</f>
        <v>109.1766667</v>
      </c>
      <c r="F154" s="7">
        <f>'Google Ads Data'!F154/'Google Ads Data'!D154</f>
        <v>1.2943764</v>
      </c>
      <c r="G154" s="5">
        <f>'Google Ads Data'!D154/'Google Ads Data'!E154</f>
        <v>84.34692308</v>
      </c>
      <c r="H154" s="5">
        <f>('Google Ads Data'!D154/'Google Ads Data'!B154)*1000</f>
        <v>34.3679674</v>
      </c>
    </row>
    <row r="155" ht="15.75" customHeight="1">
      <c r="A155" s="3">
        <v>45080.0</v>
      </c>
      <c r="B155" s="6">
        <f>'Google Ads Data'!C155/'Google Ads Data'!B155</f>
        <v>0.02086415538</v>
      </c>
      <c r="C155" s="6">
        <f>'Google Ads Data'!E155/'Google Ads Data'!C155</f>
        <v>0.02363636364</v>
      </c>
      <c r="D155" s="5">
        <f>'Google Ads Data'!D155/'Google Ads Data'!C155</f>
        <v>1.843145455</v>
      </c>
      <c r="E155" s="5">
        <f>'Google Ads Data'!F155/'Google Ads Data'!E155</f>
        <v>192.3392308</v>
      </c>
      <c r="F155" s="7">
        <f>'Google Ads Data'!F155/'Google Ads Data'!D155</f>
        <v>2.466544346</v>
      </c>
      <c r="G155" s="5">
        <f>'Google Ads Data'!D155/'Google Ads Data'!E155</f>
        <v>77.97923077</v>
      </c>
      <c r="H155" s="5">
        <f>('Google Ads Data'!D155/'Google Ads Data'!B155)*1000</f>
        <v>38.45567315</v>
      </c>
    </row>
    <row r="156" ht="15.75" customHeight="1">
      <c r="A156" s="3">
        <v>45081.0</v>
      </c>
      <c r="B156" s="6">
        <f>'Google Ads Data'!C156/'Google Ads Data'!B156</f>
        <v>0.02189138711</v>
      </c>
      <c r="C156" s="6">
        <f>'Google Ads Data'!E156/'Google Ads Data'!C156</f>
        <v>0.02461033634</v>
      </c>
      <c r="D156" s="5">
        <f>'Google Ads Data'!D156/'Google Ads Data'!C156</f>
        <v>1.690664479</v>
      </c>
      <c r="E156" s="5">
        <f>'Google Ads Data'!F156/'Google Ads Data'!E156</f>
        <v>110.8913333</v>
      </c>
      <c r="F156" s="7">
        <f>'Google Ads Data'!F156/'Google Ads Data'!D156</f>
        <v>1.614201425</v>
      </c>
      <c r="G156" s="5">
        <f>'Google Ads Data'!D156/'Google Ads Data'!E156</f>
        <v>68.69733333</v>
      </c>
      <c r="H156" s="5">
        <f>('Google Ads Data'!D156/'Google Ads Data'!B156)*1000</f>
        <v>37.01099059</v>
      </c>
    </row>
    <row r="157" ht="15.75" customHeight="1">
      <c r="A157" s="3">
        <v>45082.0</v>
      </c>
      <c r="B157" s="6">
        <f>'Google Ads Data'!C157/'Google Ads Data'!B157</f>
        <v>0.02969424487</v>
      </c>
      <c r="C157" s="6">
        <f>'Google Ads Data'!E157/'Google Ads Data'!C157</f>
        <v>0.02012072435</v>
      </c>
      <c r="D157" s="5">
        <f>'Google Ads Data'!D157/'Google Ads Data'!C157</f>
        <v>1.090206237</v>
      </c>
      <c r="E157" s="5">
        <f>'Google Ads Data'!F157/'Google Ads Data'!E157</f>
        <v>126.97825</v>
      </c>
      <c r="F157" s="7">
        <f>'Google Ads Data'!F157/'Google Ads Data'!D157</f>
        <v>2.343496376</v>
      </c>
      <c r="G157" s="5">
        <f>'Google Ads Data'!D157/'Google Ads Data'!E157</f>
        <v>54.18325</v>
      </c>
      <c r="H157" s="5">
        <f>('Google Ads Data'!D157/'Google Ads Data'!B157)*1000</f>
        <v>32.37285098</v>
      </c>
    </row>
    <row r="158" ht="15.75" customHeight="1">
      <c r="A158" s="3">
        <v>45083.0</v>
      </c>
      <c r="B158" s="6">
        <f>'Google Ads Data'!C158/'Google Ads Data'!B158</f>
        <v>0.01789838337</v>
      </c>
      <c r="C158" s="6">
        <f>'Google Ads Data'!E158/'Google Ads Data'!C158</f>
        <v>0.02052785924</v>
      </c>
      <c r="D158" s="5">
        <f>'Google Ads Data'!D158/'Google Ads Data'!C158</f>
        <v>1.890168622</v>
      </c>
      <c r="E158" s="5">
        <f>'Google Ads Data'!F158/'Google Ads Data'!E158</f>
        <v>108.9642857</v>
      </c>
      <c r="F158" s="7">
        <f>'Google Ads Data'!F158/'Google Ads Data'!D158</f>
        <v>1.183388346</v>
      </c>
      <c r="G158" s="5">
        <f>'Google Ads Data'!D158/'Google Ads Data'!E158</f>
        <v>92.07821429</v>
      </c>
      <c r="H158" s="5">
        <f>('Google Ads Data'!D158/'Google Ads Data'!B158)*1000</f>
        <v>33.83096263</v>
      </c>
    </row>
    <row r="159" ht="15.75" customHeight="1">
      <c r="A159" s="3">
        <v>45084.0</v>
      </c>
      <c r="B159" s="6">
        <f>'Google Ads Data'!C159/'Google Ads Data'!B159</f>
        <v>0.02189517529</v>
      </c>
      <c r="C159" s="6">
        <f>'Google Ads Data'!E159/'Google Ads Data'!C159</f>
        <v>0.02219403932</v>
      </c>
      <c r="D159" s="5">
        <f>'Google Ads Data'!D159/'Google Ads Data'!C159</f>
        <v>1.320285352</v>
      </c>
      <c r="E159" s="5">
        <f>'Google Ads Data'!F159/'Google Ads Data'!E159</f>
        <v>198.872</v>
      </c>
      <c r="F159" s="7">
        <f>'Google Ads Data'!F159/'Google Ads Data'!D159</f>
        <v>3.343044729</v>
      </c>
      <c r="G159" s="5">
        <f>'Google Ads Data'!D159/'Google Ads Data'!E159</f>
        <v>59.48828571</v>
      </c>
      <c r="H159" s="5">
        <f>('Google Ads Data'!D159/'Google Ads Data'!B159)*1000</f>
        <v>28.90787921</v>
      </c>
    </row>
    <row r="160" ht="15.75" customHeight="1">
      <c r="A160" s="3">
        <v>45085.0</v>
      </c>
      <c r="B160" s="6">
        <f>'Google Ads Data'!C160/'Google Ads Data'!B160</f>
        <v>0.02279603718</v>
      </c>
      <c r="C160" s="6">
        <f>'Google Ads Data'!E160/'Google Ads Data'!C160</f>
        <v>0.01677048395</v>
      </c>
      <c r="D160" s="5">
        <f>'Google Ads Data'!D160/'Google Ads Data'!C160</f>
        <v>1.280220412</v>
      </c>
      <c r="E160" s="5">
        <f>'Google Ads Data'!F160/'Google Ads Data'!E160</f>
        <v>191.7271429</v>
      </c>
      <c r="F160" s="7">
        <f>'Google Ads Data'!F160/'Google Ads Data'!D160</f>
        <v>2.51156515</v>
      </c>
      <c r="G160" s="5">
        <f>'Google Ads Data'!D160/'Google Ads Data'!E160</f>
        <v>76.33771429</v>
      </c>
      <c r="H160" s="5">
        <f>('Google Ads Data'!D160/'Google Ads Data'!B160)*1000</f>
        <v>29.18395211</v>
      </c>
    </row>
    <row r="161" ht="15.75" customHeight="1">
      <c r="A161" s="3">
        <v>45086.0</v>
      </c>
      <c r="B161" s="6">
        <f>'Google Ads Data'!C161/'Google Ads Data'!B161</f>
        <v>0.01428899609</v>
      </c>
      <c r="C161" s="6">
        <f>'Google Ads Data'!E161/'Google Ads Data'!C161</f>
        <v>0.01286173633</v>
      </c>
      <c r="D161" s="5">
        <f>'Google Ads Data'!D161/'Google Ads Data'!C161</f>
        <v>1.431093248</v>
      </c>
      <c r="E161" s="5">
        <f>'Google Ads Data'!F161/'Google Ads Data'!E161</f>
        <v>140.71125</v>
      </c>
      <c r="F161" s="7">
        <f>'Google Ads Data'!F161/'Google Ads Data'!D161</f>
        <v>1.264621296</v>
      </c>
      <c r="G161" s="5">
        <f>'Google Ads Data'!D161/'Google Ads Data'!E161</f>
        <v>111.2675</v>
      </c>
      <c r="H161" s="5">
        <f>('Google Ads Data'!D161/'Google Ads Data'!B161)*1000</f>
        <v>20.44888583</v>
      </c>
    </row>
    <row r="162" ht="15.75" customHeight="1">
      <c r="A162" s="3">
        <v>45087.0</v>
      </c>
      <c r="B162" s="6">
        <f>'Google Ads Data'!C162/'Google Ads Data'!B162</f>
        <v>0.0264940262</v>
      </c>
      <c r="C162" s="6">
        <f>'Google Ads Data'!E162/'Google Ads Data'!C162</f>
        <v>0.01302083333</v>
      </c>
      <c r="D162" s="5">
        <f>'Google Ads Data'!D162/'Google Ads Data'!C162</f>
        <v>1.070238715</v>
      </c>
      <c r="E162" s="5">
        <f>'Google Ads Data'!F162/'Google Ads Data'!E162</f>
        <v>135.882</v>
      </c>
      <c r="F162" s="7">
        <f>'Google Ads Data'!F162/'Google Ads Data'!D162</f>
        <v>1.65317966</v>
      </c>
      <c r="G162" s="5">
        <f>'Google Ads Data'!D162/'Google Ads Data'!E162</f>
        <v>82.19433333</v>
      </c>
      <c r="H162" s="5">
        <f>('Google Ads Data'!D162/'Google Ads Data'!B162)*1000</f>
        <v>28.35493256</v>
      </c>
    </row>
    <row r="163" ht="15.75" customHeight="1">
      <c r="A163" s="3">
        <v>45088.0</v>
      </c>
      <c r="B163" s="6">
        <f>'Google Ads Data'!C163/'Google Ads Data'!B163</f>
        <v>0.01369645029</v>
      </c>
      <c r="C163" s="6">
        <f>'Google Ads Data'!E163/'Google Ads Data'!C163</f>
        <v>0.01244813278</v>
      </c>
      <c r="D163" s="5">
        <f>'Google Ads Data'!D163/'Google Ads Data'!C163</f>
        <v>1.200307054</v>
      </c>
      <c r="E163" s="5">
        <f>'Google Ads Data'!F163/'Google Ads Data'!E163</f>
        <v>184.5573333</v>
      </c>
      <c r="F163" s="7">
        <f>'Google Ads Data'!F163/'Google Ads Data'!D163</f>
        <v>1.914005407</v>
      </c>
      <c r="G163" s="5">
        <f>'Google Ads Data'!D163/'Google Ads Data'!E163</f>
        <v>96.42466667</v>
      </c>
      <c r="H163" s="5">
        <f>('Google Ads Data'!D163/'Google Ads Data'!B163)*1000</f>
        <v>16.4399459</v>
      </c>
    </row>
    <row r="164" ht="15.75" customHeight="1">
      <c r="A164" s="3">
        <v>45089.0</v>
      </c>
      <c r="B164" s="6">
        <f>'Google Ads Data'!C164/'Google Ads Data'!B164</f>
        <v>0.02117541049</v>
      </c>
      <c r="C164" s="6">
        <f>'Google Ads Data'!E164/'Google Ads Data'!C164</f>
        <v>0.01891252955</v>
      </c>
      <c r="D164" s="5">
        <f>'Google Ads Data'!D164/'Google Ads Data'!C164</f>
        <v>1.031182033</v>
      </c>
      <c r="E164" s="5">
        <f>'Google Ads Data'!F164/'Google Ads Data'!E164</f>
        <v>183.88</v>
      </c>
      <c r="F164" s="7">
        <f>'Google Ads Data'!F164/'Google Ads Data'!D164</f>
        <v>3.372475297</v>
      </c>
      <c r="G164" s="5">
        <f>'Google Ads Data'!D164/'Google Ads Data'!E164</f>
        <v>54.52375</v>
      </c>
      <c r="H164" s="5">
        <f>('Google Ads Data'!D164/'Google Ads Data'!B164)*1000</f>
        <v>21.83570284</v>
      </c>
    </row>
    <row r="165" ht="15.75" customHeight="1">
      <c r="A165" s="3">
        <v>45090.0</v>
      </c>
      <c r="B165" s="6">
        <f>'Google Ads Data'!C165/'Google Ads Data'!B165</f>
        <v>0.02828423971</v>
      </c>
      <c r="C165" s="6">
        <f>'Google Ads Data'!E165/'Google Ads Data'!C165</f>
        <v>0.02390438247</v>
      </c>
      <c r="D165" s="5">
        <f>'Google Ads Data'!D165/'Google Ads Data'!C165</f>
        <v>1.901051793</v>
      </c>
      <c r="E165" s="5">
        <f>'Google Ads Data'!F165/'Google Ads Data'!E165</f>
        <v>160.629</v>
      </c>
      <c r="F165" s="7">
        <f>'Google Ads Data'!F165/'Google Ads Data'!D165</f>
        <v>2.019796129</v>
      </c>
      <c r="G165" s="5">
        <f>'Google Ads Data'!D165/'Google Ads Data'!E165</f>
        <v>79.52733333</v>
      </c>
      <c r="H165" s="5">
        <f>('Google Ads Data'!D165/'Google Ads Data'!B165)*1000</f>
        <v>53.7698046</v>
      </c>
    </row>
    <row r="166" ht="15.75" customHeight="1">
      <c r="A166" s="3">
        <v>45091.0</v>
      </c>
      <c r="B166" s="6">
        <f>'Google Ads Data'!C166/'Google Ads Data'!B166</f>
        <v>0.02059091205</v>
      </c>
      <c r="C166" s="6">
        <f>'Google Ads Data'!E166/'Google Ads Data'!C166</f>
        <v>0.01657458564</v>
      </c>
      <c r="D166" s="5">
        <f>'Google Ads Data'!D166/'Google Ads Data'!C166</f>
        <v>1.140497238</v>
      </c>
      <c r="E166" s="5">
        <f>'Google Ads Data'!F166/'Google Ads Data'!E166</f>
        <v>175.43</v>
      </c>
      <c r="F166" s="7">
        <f>'Google Ads Data'!F166/'Google Ads Data'!D166</f>
        <v>2.549484087</v>
      </c>
      <c r="G166" s="5">
        <f>'Google Ads Data'!D166/'Google Ads Data'!E166</f>
        <v>68.81</v>
      </c>
      <c r="H166" s="5">
        <f>('Google Ads Data'!D166/'Google Ads Data'!B166)*1000</f>
        <v>23.48387831</v>
      </c>
    </row>
    <row r="167" ht="15.75" customHeight="1">
      <c r="A167" s="3">
        <v>45092.0</v>
      </c>
      <c r="B167" s="6">
        <f>'Google Ads Data'!C167/'Google Ads Data'!B167</f>
        <v>0.02648981308</v>
      </c>
      <c r="C167" s="6">
        <f>'Google Ads Data'!E167/'Google Ads Data'!C167</f>
        <v>0.02453102453</v>
      </c>
      <c r="D167" s="5">
        <f>'Google Ads Data'!D167/'Google Ads Data'!C167</f>
        <v>1.260481</v>
      </c>
      <c r="E167" s="5">
        <f>'Google Ads Data'!F167/'Google Ads Data'!E167</f>
        <v>179.295098</v>
      </c>
      <c r="F167" s="7">
        <f>'Google Ads Data'!F167/'Google Ads Data'!D167</f>
        <v>3.489376235</v>
      </c>
      <c r="G167" s="5">
        <f>'Google Ads Data'!D167/'Google Ads Data'!E167</f>
        <v>51.38313725</v>
      </c>
      <c r="H167" s="5">
        <f>('Google Ads Data'!D167/'Google Ads Data'!B167)*1000</f>
        <v>33.38990609</v>
      </c>
    </row>
    <row r="168" ht="15.75" customHeight="1">
      <c r="A168" s="3">
        <v>45093.0</v>
      </c>
      <c r="B168" s="6">
        <f>'Google Ads Data'!C168/'Google Ads Data'!B168</f>
        <v>0.02909660842</v>
      </c>
      <c r="C168" s="6">
        <f>'Google Ads Data'!E168/'Google Ads Data'!C168</f>
        <v>0.01612312202</v>
      </c>
      <c r="D168" s="5">
        <f>'Google Ads Data'!D168/'Google Ads Data'!C168</f>
        <v>1.880216196</v>
      </c>
      <c r="E168" s="5">
        <f>'Google Ads Data'!F168/'Google Ads Data'!E168</f>
        <v>157.6802273</v>
      </c>
      <c r="F168" s="7">
        <f>'Google Ads Data'!F168/'Google Ads Data'!D168</f>
        <v>1.352130436</v>
      </c>
      <c r="G168" s="5">
        <f>'Google Ads Data'!D168/'Google Ads Data'!E168</f>
        <v>116.6161364</v>
      </c>
      <c r="H168" s="5">
        <f>('Google Ads Data'!D168/'Google Ads Data'!B168)*1000</f>
        <v>54.70791441</v>
      </c>
    </row>
    <row r="169" ht="15.75" customHeight="1">
      <c r="A169" s="3">
        <v>45094.0</v>
      </c>
      <c r="B169" s="6">
        <f>'Google Ads Data'!C169/'Google Ads Data'!B169</f>
        <v>0.01798689272</v>
      </c>
      <c r="C169" s="6">
        <f>'Google Ads Data'!E169/'Google Ads Data'!C169</f>
        <v>0.01188118812</v>
      </c>
      <c r="D169" s="5">
        <f>'Google Ads Data'!D169/'Google Ads Data'!C169</f>
        <v>1.290930693</v>
      </c>
      <c r="E169" s="5">
        <f>'Google Ads Data'!F169/'Google Ads Data'!E169</f>
        <v>199.9233333</v>
      </c>
      <c r="F169" s="7">
        <f>'Google Ads Data'!F169/'Google Ads Data'!D169</f>
        <v>1.840011044</v>
      </c>
      <c r="G169" s="5">
        <f>'Google Ads Data'!D169/'Google Ads Data'!E169</f>
        <v>108.6533333</v>
      </c>
      <c r="H169" s="5">
        <f>('Google Ads Data'!D169/'Google Ads Data'!B169)*1000</f>
        <v>23.21983188</v>
      </c>
    </row>
    <row r="170" ht="15.75" customHeight="1">
      <c r="A170" s="3">
        <v>45095.0</v>
      </c>
      <c r="B170" s="6">
        <f>'Google Ads Data'!C170/'Google Ads Data'!B170</f>
        <v>0.01068640813</v>
      </c>
      <c r="C170" s="6">
        <f>'Google Ads Data'!E170/'Google Ads Data'!C170</f>
        <v>0.01739130435</v>
      </c>
      <c r="D170" s="5">
        <f>'Google Ads Data'!D170/'Google Ads Data'!C170</f>
        <v>1.962492754</v>
      </c>
      <c r="E170" s="5">
        <f>'Google Ads Data'!F170/'Google Ads Data'!E170</f>
        <v>146.535</v>
      </c>
      <c r="F170" s="7">
        <f>'Google Ads Data'!F170/'Google Ads Data'!D170</f>
        <v>1.298570289</v>
      </c>
      <c r="G170" s="5">
        <f>'Google Ads Data'!D170/'Google Ads Data'!E170</f>
        <v>112.8433333</v>
      </c>
      <c r="H170" s="5">
        <f>('Google Ads Data'!D170/'Google Ads Data'!B170)*1000</f>
        <v>20.97199851</v>
      </c>
    </row>
    <row r="171" ht="15.75" customHeight="1">
      <c r="A171" s="3">
        <v>45096.0</v>
      </c>
      <c r="B171" s="6">
        <f>'Google Ads Data'!C171/'Google Ads Data'!B171</f>
        <v>0.02469452277</v>
      </c>
      <c r="C171" s="6">
        <f>'Google Ads Data'!E171/'Google Ads Data'!C171</f>
        <v>0.01384083045</v>
      </c>
      <c r="D171" s="5">
        <f>'Google Ads Data'!D171/'Google Ads Data'!C171</f>
        <v>1.220268166</v>
      </c>
      <c r="E171" s="5">
        <f>'Google Ads Data'!F171/'Google Ads Data'!E171</f>
        <v>183.41125</v>
      </c>
      <c r="F171" s="7">
        <f>'Google Ads Data'!F171/'Google Ads Data'!D171</f>
        <v>2.080332901</v>
      </c>
      <c r="G171" s="5">
        <f>'Google Ads Data'!D171/'Google Ads Data'!E171</f>
        <v>88.164375</v>
      </c>
      <c r="H171" s="5">
        <f>('Google Ads Data'!D171/'Google Ads Data'!B171)*1000</f>
        <v>30.13394002</v>
      </c>
    </row>
    <row r="172" ht="15.75" customHeight="1">
      <c r="A172" s="3">
        <v>45097.0</v>
      </c>
      <c r="B172" s="6">
        <f>'Google Ads Data'!C172/'Google Ads Data'!B172</f>
        <v>0.02348957968</v>
      </c>
      <c r="C172" s="6">
        <f>'Google Ads Data'!E172/'Google Ads Data'!C172</f>
        <v>0.02389843167</v>
      </c>
      <c r="D172" s="5">
        <f>'Google Ads Data'!D172/'Google Ads Data'!C172</f>
        <v>1.670739358</v>
      </c>
      <c r="E172" s="5">
        <f>'Google Ads Data'!F172/'Google Ads Data'!E172</f>
        <v>175.5453125</v>
      </c>
      <c r="F172" s="7">
        <f>'Google Ads Data'!F172/'Google Ads Data'!D172</f>
        <v>2.511018631</v>
      </c>
      <c r="G172" s="5">
        <f>'Google Ads Data'!D172/'Google Ads Data'!E172</f>
        <v>69.91</v>
      </c>
      <c r="H172" s="5">
        <f>('Google Ads Data'!D172/'Google Ads Data'!B172)*1000</f>
        <v>39.24496527</v>
      </c>
    </row>
    <row r="173" ht="15.75" customHeight="1">
      <c r="A173" s="3">
        <v>45098.0</v>
      </c>
      <c r="B173" s="6">
        <f>'Google Ads Data'!C173/'Google Ads Data'!B173</f>
        <v>0.02789447839</v>
      </c>
      <c r="C173" s="6">
        <f>'Google Ads Data'!E173/'Google Ads Data'!C173</f>
        <v>0.0195599022</v>
      </c>
      <c r="D173" s="5">
        <f>'Google Ads Data'!D173/'Google Ads Data'!C173</f>
        <v>1.720337408</v>
      </c>
      <c r="E173" s="5">
        <f>'Google Ads Data'!F173/'Google Ads Data'!E173</f>
        <v>166.21475</v>
      </c>
      <c r="F173" s="7">
        <f>'Google Ads Data'!F173/'Google Ads Data'!D173</f>
        <v>1.889829424</v>
      </c>
      <c r="G173" s="5">
        <f>'Google Ads Data'!D173/'Google Ads Data'!E173</f>
        <v>87.95225</v>
      </c>
      <c r="H173" s="5">
        <f>('Google Ads Data'!D173/'Google Ads Data'!B173)*1000</f>
        <v>47.98791467</v>
      </c>
    </row>
    <row r="174" ht="15.75" customHeight="1">
      <c r="A174" s="3">
        <v>45099.0</v>
      </c>
      <c r="B174" s="6">
        <f>'Google Ads Data'!C174/'Google Ads Data'!B174</f>
        <v>0.02958757897</v>
      </c>
      <c r="C174" s="6">
        <f>'Google Ads Data'!E174/'Google Ads Data'!C174</f>
        <v>0.01679929266</v>
      </c>
      <c r="D174" s="5">
        <f>'Google Ads Data'!D174/'Google Ads Data'!C174</f>
        <v>1.770742706</v>
      </c>
      <c r="E174" s="5">
        <f>'Google Ads Data'!F174/'Google Ads Data'!E174</f>
        <v>158.8589474</v>
      </c>
      <c r="F174" s="7">
        <f>'Google Ads Data'!F174/'Google Ads Data'!D174</f>
        <v>1.507117855</v>
      </c>
      <c r="G174" s="5">
        <f>'Google Ads Data'!D174/'Google Ads Data'!E174</f>
        <v>105.4057895</v>
      </c>
      <c r="H174" s="5">
        <f>('Google Ads Data'!D174/'Google Ads Data'!B174)*1000</f>
        <v>52.39198964</v>
      </c>
    </row>
    <row r="175" ht="15.75" customHeight="1">
      <c r="A175" s="3">
        <v>45100.0</v>
      </c>
      <c r="B175" s="6">
        <f>'Google Ads Data'!C175/'Google Ads Data'!B175</f>
        <v>0.01399581158</v>
      </c>
      <c r="C175" s="6">
        <f>'Google Ads Data'!E175/'Google Ads Data'!C175</f>
        <v>0.02423603793</v>
      </c>
      <c r="D175" s="5">
        <f>'Google Ads Data'!D175/'Google Ads Data'!C175</f>
        <v>1.970579557</v>
      </c>
      <c r="E175" s="5">
        <f>'Google Ads Data'!F175/'Google Ads Data'!E175</f>
        <v>163.4047826</v>
      </c>
      <c r="F175" s="7">
        <f>'Google Ads Data'!F175/'Google Ads Data'!D175</f>
        <v>2.009705467</v>
      </c>
      <c r="G175" s="5">
        <f>'Google Ads Data'!D175/'Google Ads Data'!E175</f>
        <v>81.30782609</v>
      </c>
      <c r="H175" s="5">
        <f>('Google Ads Data'!D175/'Google Ads Data'!B175)*1000</f>
        <v>27.57986019</v>
      </c>
    </row>
    <row r="176" ht="15.75" customHeight="1">
      <c r="A176" s="3">
        <v>45101.0</v>
      </c>
      <c r="B176" s="6">
        <f>'Google Ads Data'!C176/'Google Ads Data'!B176</f>
        <v>0.01129975343</v>
      </c>
      <c r="C176" s="6">
        <f>'Google Ads Data'!E176/'Google Ads Data'!C176</f>
        <v>0.01995012469</v>
      </c>
      <c r="D176" s="5">
        <f>'Google Ads Data'!D176/'Google Ads Data'!C176</f>
        <v>1.910037406</v>
      </c>
      <c r="E176" s="5">
        <f>'Google Ads Data'!F176/'Google Ads Data'!E176</f>
        <v>138.0325</v>
      </c>
      <c r="F176" s="7">
        <f>'Google Ads Data'!F176/'Google Ads Data'!D176</f>
        <v>1.441733851</v>
      </c>
      <c r="G176" s="5">
        <f>'Google Ads Data'!D176/'Google Ads Data'!E176</f>
        <v>95.740625</v>
      </c>
      <c r="H176" s="5">
        <f>('Google Ads Data'!D176/'Google Ads Data'!B176)*1000</f>
        <v>21.58295174</v>
      </c>
    </row>
    <row r="177" ht="15.75" customHeight="1">
      <c r="A177" s="3">
        <v>45102.0</v>
      </c>
      <c r="B177" s="6">
        <f>'Google Ads Data'!C177/'Google Ads Data'!B177</f>
        <v>0.0152744306</v>
      </c>
      <c r="C177" s="6">
        <f>'Google Ads Data'!E177/'Google Ads Data'!C177</f>
        <v>0.01777777778</v>
      </c>
      <c r="D177" s="5">
        <f>'Google Ads Data'!D177/'Google Ads Data'!C177</f>
        <v>1.4424</v>
      </c>
      <c r="E177" s="5">
        <f>'Google Ads Data'!F177/'Google Ads Data'!E177</f>
        <v>189.49125</v>
      </c>
      <c r="F177" s="7">
        <f>'Google Ads Data'!F177/'Google Ads Data'!D177</f>
        <v>2.335505639</v>
      </c>
      <c r="G177" s="5">
        <f>'Google Ads Data'!D177/'Google Ads Data'!E177</f>
        <v>81.135</v>
      </c>
      <c r="H177" s="5">
        <f>('Google Ads Data'!D177/'Google Ads Data'!B177)*1000</f>
        <v>22.0318387</v>
      </c>
    </row>
    <row r="178" ht="15.75" customHeight="1">
      <c r="A178" s="3">
        <v>45103.0</v>
      </c>
      <c r="B178" s="6">
        <f>'Google Ads Data'!C178/'Google Ads Data'!B178</f>
        <v>0.01719516445</v>
      </c>
      <c r="C178" s="6">
        <f>'Google Ads Data'!E178/'Google Ads Data'!C178</f>
        <v>0.02260327358</v>
      </c>
      <c r="D178" s="5">
        <f>'Google Ads Data'!D178/'Google Ads Data'!C178</f>
        <v>1.690467654</v>
      </c>
      <c r="E178" s="5">
        <f>'Google Ads Data'!F178/'Google Ads Data'!E178</f>
        <v>146.8165517</v>
      </c>
      <c r="F178" s="7">
        <f>'Google Ads Data'!F178/'Google Ads Data'!D178</f>
        <v>1.963086769</v>
      </c>
      <c r="G178" s="5">
        <f>'Google Ads Data'!D178/'Google Ads Data'!E178</f>
        <v>74.78862069</v>
      </c>
      <c r="H178" s="5">
        <f>('Google Ads Data'!D178/'Google Ads Data'!B178)*1000</f>
        <v>29.0678693</v>
      </c>
    </row>
    <row r="179" ht="15.75" customHeight="1">
      <c r="A179" s="3">
        <v>45104.0</v>
      </c>
      <c r="B179" s="6">
        <f>'Google Ads Data'!C179/'Google Ads Data'!B179</f>
        <v>0.0269914873</v>
      </c>
      <c r="C179" s="6">
        <f>'Google Ads Data'!E179/'Google Ads Data'!C179</f>
        <v>0.01923076923</v>
      </c>
      <c r="D179" s="5">
        <f>'Google Ads Data'!D179/'Google Ads Data'!C179</f>
        <v>1.670525641</v>
      </c>
      <c r="E179" s="5">
        <f>'Google Ads Data'!F179/'Google Ads Data'!E179</f>
        <v>154.4573333</v>
      </c>
      <c r="F179" s="7">
        <f>'Google Ads Data'!F179/'Google Ads Data'!D179</f>
        <v>1.778083054</v>
      </c>
      <c r="G179" s="5">
        <f>'Google Ads Data'!D179/'Google Ads Data'!E179</f>
        <v>86.86733333</v>
      </c>
      <c r="H179" s="5">
        <f>('Google Ads Data'!D179/'Google Ads Data'!B179)*1000</f>
        <v>45.08997162</v>
      </c>
    </row>
    <row r="180" ht="15.75" customHeight="1">
      <c r="A180" s="3">
        <v>45105.0</v>
      </c>
      <c r="B180" s="6">
        <f>'Google Ads Data'!C180/'Google Ads Data'!B180</f>
        <v>0.01918285014</v>
      </c>
      <c r="C180" s="6">
        <f>'Google Ads Data'!E180/'Google Ads Data'!C180</f>
        <v>0.01855670103</v>
      </c>
      <c r="D180" s="5">
        <f>'Google Ads Data'!D180/'Google Ads Data'!C180</f>
        <v>1.791587629</v>
      </c>
      <c r="E180" s="5">
        <f>'Google Ads Data'!F180/'Google Ads Data'!E180</f>
        <v>166.1644444</v>
      </c>
      <c r="F180" s="7">
        <f>'Google Ads Data'!F180/'Google Ads Data'!D180</f>
        <v>1.721079041</v>
      </c>
      <c r="G180" s="5">
        <f>'Google Ads Data'!D180/'Google Ads Data'!E180</f>
        <v>96.54666667</v>
      </c>
      <c r="H180" s="5">
        <f>('Google Ads Data'!D180/'Google Ads Data'!B180)*1000</f>
        <v>34.36775699</v>
      </c>
    </row>
    <row r="181" ht="15.75" customHeight="1">
      <c r="A181" s="3">
        <v>45106.0</v>
      </c>
      <c r="B181" s="6">
        <f>'Google Ads Data'!C181/'Google Ads Data'!B181</f>
        <v>0.01407233248</v>
      </c>
      <c r="C181" s="6">
        <f>'Google Ads Data'!E181/'Google Ads Data'!C181</f>
        <v>0.02211302211</v>
      </c>
      <c r="D181" s="5">
        <f>'Google Ads Data'!D181/'Google Ads Data'!C181</f>
        <v>1.192334152</v>
      </c>
      <c r="E181" s="5">
        <f>'Google Ads Data'!F181/'Google Ads Data'!E181</f>
        <v>152.2455556</v>
      </c>
      <c r="F181" s="7">
        <f>'Google Ads Data'!F181/'Google Ads Data'!D181</f>
        <v>2.82354517</v>
      </c>
      <c r="G181" s="5">
        <f>'Google Ads Data'!D181/'Google Ads Data'!E181</f>
        <v>53.92</v>
      </c>
      <c r="H181" s="5">
        <f>('Google Ads Data'!D181/'Google Ads Data'!B181)*1000</f>
        <v>16.77892262</v>
      </c>
    </row>
    <row r="182" ht="15.75" customHeight="1">
      <c r="A182" s="3">
        <v>45107.0</v>
      </c>
      <c r="B182" s="6">
        <f>'Google Ads Data'!C182/'Google Ads Data'!B182</f>
        <v>0.0222806328</v>
      </c>
      <c r="C182" s="6">
        <f>'Google Ads Data'!E182/'Google Ads Data'!C182</f>
        <v>0.01764057332</v>
      </c>
      <c r="D182" s="5">
        <f>'Google Ads Data'!D182/'Google Ads Data'!C182</f>
        <v>1.931675854</v>
      </c>
      <c r="E182" s="5">
        <f>'Google Ads Data'!F182/'Google Ads Data'!E182</f>
        <v>154.653125</v>
      </c>
      <c r="F182" s="7">
        <f>'Google Ads Data'!F182/'Google Ads Data'!D182</f>
        <v>1.412333122</v>
      </c>
      <c r="G182" s="5">
        <f>'Google Ads Data'!D182/'Google Ads Data'!E182</f>
        <v>109.501875</v>
      </c>
      <c r="H182" s="5">
        <f>('Google Ads Data'!D182/'Google Ads Data'!B182)*1000</f>
        <v>43.0389604</v>
      </c>
    </row>
    <row r="183" ht="15.75" customHeight="1">
      <c r="A183" s="3">
        <v>45108.0</v>
      </c>
      <c r="B183" s="6">
        <f>'Google Ads Data'!C183/'Google Ads Data'!B183</f>
        <v>0.02889772686</v>
      </c>
      <c r="C183" s="6">
        <f>'Google Ads Data'!E183/'Google Ads Data'!C183</f>
        <v>0.01893939394</v>
      </c>
      <c r="D183" s="5">
        <f>'Google Ads Data'!D183/'Google Ads Data'!C183</f>
        <v>1.450113636</v>
      </c>
      <c r="E183" s="5">
        <f>'Google Ads Data'!F183/'Google Ads Data'!E183</f>
        <v>191.5946667</v>
      </c>
      <c r="F183" s="7">
        <f>'Google Ads Data'!F183/'Google Ads Data'!D183</f>
        <v>2.502346559</v>
      </c>
      <c r="G183" s="5">
        <f>'Google Ads Data'!D183/'Google Ads Data'!E183</f>
        <v>76.566</v>
      </c>
      <c r="H183" s="5">
        <f>('Google Ads Data'!D183/'Google Ads Data'!B183)*1000</f>
        <v>41.90498778</v>
      </c>
    </row>
    <row r="184" ht="15.75" customHeight="1">
      <c r="A184" s="3">
        <v>45109.0</v>
      </c>
      <c r="B184" s="6">
        <f>'Google Ads Data'!C184/'Google Ads Data'!B184</f>
        <v>0.02709963789</v>
      </c>
      <c r="C184" s="6">
        <f>'Google Ads Data'!E184/'Google Ads Data'!C184</f>
        <v>0.02011494253</v>
      </c>
      <c r="D184" s="5">
        <f>'Google Ads Data'!D184/'Google Ads Data'!C184</f>
        <v>1.04</v>
      </c>
      <c r="E184" s="5">
        <f>'Google Ads Data'!F184/'Google Ads Data'!E184</f>
        <v>180.4257143</v>
      </c>
      <c r="F184" s="7">
        <f>'Google Ads Data'!F184/'Google Ads Data'!D184</f>
        <v>3.489666225</v>
      </c>
      <c r="G184" s="5">
        <f>'Google Ads Data'!D184/'Google Ads Data'!E184</f>
        <v>51.70285714</v>
      </c>
      <c r="H184" s="5">
        <f>('Google Ads Data'!D184/'Google Ads Data'!B184)*1000</f>
        <v>28.18362341</v>
      </c>
    </row>
    <row r="185" ht="15.75" customHeight="1">
      <c r="A185" s="3">
        <v>45110.0</v>
      </c>
      <c r="B185" s="6">
        <f>'Google Ads Data'!C185/'Google Ads Data'!B185</f>
        <v>0.01979008599</v>
      </c>
      <c r="C185" s="6">
        <f>'Google Ads Data'!E185/'Google Ads Data'!C185</f>
        <v>0.01277955272</v>
      </c>
      <c r="D185" s="5">
        <f>'Google Ads Data'!D185/'Google Ads Data'!C185</f>
        <v>1.860926518</v>
      </c>
      <c r="E185" s="5">
        <f>'Google Ads Data'!F185/'Google Ads Data'!E185</f>
        <v>149.735625</v>
      </c>
      <c r="F185" s="7">
        <f>'Google Ads Data'!F185/'Google Ads Data'!D185</f>
        <v>1.028280426</v>
      </c>
      <c r="G185" s="5">
        <f>'Google Ads Data'!D185/'Google Ads Data'!E185</f>
        <v>145.6175</v>
      </c>
      <c r="H185" s="5">
        <f>('Google Ads Data'!D185/'Google Ads Data'!B185)*1000</f>
        <v>36.8278958</v>
      </c>
    </row>
    <row r="186" ht="15.75" customHeight="1">
      <c r="A186" s="3">
        <v>45111.0</v>
      </c>
      <c r="B186" s="6">
        <f>'Google Ads Data'!C186/'Google Ads Data'!B186</f>
        <v>0.01719613351</v>
      </c>
      <c r="C186" s="6">
        <f>'Google Ads Data'!E186/'Google Ads Data'!C186</f>
        <v>0.01380368098</v>
      </c>
      <c r="D186" s="5">
        <f>'Google Ads Data'!D186/'Google Ads Data'!C186</f>
        <v>1.000222393</v>
      </c>
      <c r="E186" s="5">
        <f>'Google Ads Data'!F186/'Google Ads Data'!E186</f>
        <v>188.2966667</v>
      </c>
      <c r="F186" s="7">
        <f>'Google Ads Data'!F186/'Google Ads Data'!D186</f>
        <v>2.598609205</v>
      </c>
      <c r="G186" s="5">
        <f>'Google Ads Data'!D186/'Google Ads Data'!E186</f>
        <v>72.46055556</v>
      </c>
      <c r="H186" s="5">
        <f>('Google Ads Data'!D186/'Google Ads Data'!B186)*1000</f>
        <v>17.1999578</v>
      </c>
    </row>
    <row r="187" ht="15.75" customHeight="1">
      <c r="A187" s="3">
        <v>45112.0</v>
      </c>
      <c r="B187" s="6">
        <f>'Google Ads Data'!C187/'Google Ads Data'!B187</f>
        <v>0.02729208633</v>
      </c>
      <c r="C187" s="6">
        <f>'Google Ads Data'!E187/'Google Ads Data'!C187</f>
        <v>0.01265288908</v>
      </c>
      <c r="D187" s="5">
        <f>'Google Ads Data'!D187/'Google Ads Data'!C187</f>
        <v>1.470425981</v>
      </c>
      <c r="E187" s="5">
        <f>'Google Ads Data'!F187/'Google Ads Data'!E187</f>
        <v>145.938</v>
      </c>
      <c r="F187" s="7">
        <f>'Google Ads Data'!F187/'Google Ads Data'!D187</f>
        <v>1.255783936</v>
      </c>
      <c r="G187" s="5">
        <f>'Google Ads Data'!D187/'Google Ads Data'!E187</f>
        <v>116.2126667</v>
      </c>
      <c r="H187" s="5">
        <f>('Google Ads Data'!D187/'Google Ads Data'!B187)*1000</f>
        <v>40.13099281</v>
      </c>
    </row>
    <row r="188" ht="15.75" customHeight="1">
      <c r="A188" s="3">
        <v>45113.0</v>
      </c>
      <c r="B188" s="6">
        <f>'Google Ads Data'!C188/'Google Ads Data'!B188</f>
        <v>0.02207123739</v>
      </c>
      <c r="C188" s="6">
        <f>'Google Ads Data'!E188/'Google Ads Data'!C188</f>
        <v>0.01305970149</v>
      </c>
      <c r="D188" s="5">
        <f>'Google Ads Data'!D188/'Google Ads Data'!C188</f>
        <v>1.471902985</v>
      </c>
      <c r="E188" s="5">
        <f>'Google Ads Data'!F188/'Google Ads Data'!E188</f>
        <v>124.76</v>
      </c>
      <c r="F188" s="7">
        <f>'Google Ads Data'!F188/'Google Ads Data'!D188</f>
        <v>1.106953634</v>
      </c>
      <c r="G188" s="5">
        <f>'Google Ads Data'!D188/'Google Ads Data'!E188</f>
        <v>112.7057143</v>
      </c>
      <c r="H188" s="5">
        <f>('Google Ads Data'!D188/'Google Ads Data'!B188)*1000</f>
        <v>32.4867202</v>
      </c>
    </row>
    <row r="189" ht="15.75" customHeight="1">
      <c r="A189" s="3">
        <v>45114.0</v>
      </c>
      <c r="B189" s="6">
        <f>'Google Ads Data'!C189/'Google Ads Data'!B189</f>
        <v>0.02668009651</v>
      </c>
      <c r="C189" s="6">
        <f>'Google Ads Data'!E189/'Google Ads Data'!C189</f>
        <v>0.02282704126</v>
      </c>
      <c r="D189" s="5">
        <f>'Google Ads Data'!D189/'Google Ads Data'!C189</f>
        <v>1.481097454</v>
      </c>
      <c r="E189" s="5">
        <f>'Google Ads Data'!F189/'Google Ads Data'!E189</f>
        <v>167.9303846</v>
      </c>
      <c r="F189" s="7">
        <f>'Google Ads Data'!F189/'Google Ads Data'!D189</f>
        <v>2.588184734</v>
      </c>
      <c r="G189" s="5">
        <f>'Google Ads Data'!D189/'Google Ads Data'!E189</f>
        <v>64.88346154</v>
      </c>
      <c r="H189" s="5">
        <f>('Google Ads Data'!D189/'Google Ads Data'!B189)*1000</f>
        <v>39.51582301</v>
      </c>
    </row>
    <row r="190" ht="15.75" customHeight="1">
      <c r="A190" s="3">
        <v>45115.0</v>
      </c>
      <c r="B190" s="6">
        <f>'Google Ads Data'!C190/'Google Ads Data'!B190</f>
        <v>0.01949288366</v>
      </c>
      <c r="C190" s="6">
        <f>'Google Ads Data'!E190/'Google Ads Data'!C190</f>
        <v>0.02178496135</v>
      </c>
      <c r="D190" s="5">
        <f>'Google Ads Data'!D190/'Google Ads Data'!C190</f>
        <v>1.880681658</v>
      </c>
      <c r="E190" s="5">
        <f>'Google Ads Data'!F190/'Google Ads Data'!E190</f>
        <v>108.0590323</v>
      </c>
      <c r="F190" s="7">
        <f>'Google Ads Data'!F190/'Google Ads Data'!D190</f>
        <v>1.251706705</v>
      </c>
      <c r="G190" s="5">
        <f>'Google Ads Data'!D190/'Google Ads Data'!E190</f>
        <v>86.32935484</v>
      </c>
      <c r="H190" s="5">
        <f>('Google Ads Data'!D190/'Google Ads Data'!B190)*1000</f>
        <v>36.65990877</v>
      </c>
    </row>
    <row r="191" ht="15.75" customHeight="1">
      <c r="A191" s="3">
        <v>45116.0</v>
      </c>
      <c r="B191" s="6">
        <f>'Google Ads Data'!C191/'Google Ads Data'!B191</f>
        <v>0.01729248042</v>
      </c>
      <c r="C191" s="6">
        <f>'Google Ads Data'!E191/'Google Ads Data'!C191</f>
        <v>0.02043132804</v>
      </c>
      <c r="D191" s="5">
        <f>'Google Ads Data'!D191/'Google Ads Data'!C191</f>
        <v>1.710737798</v>
      </c>
      <c r="E191" s="5">
        <f>'Google Ads Data'!F191/'Google Ads Data'!E191</f>
        <v>102.8866667</v>
      </c>
      <c r="F191" s="7">
        <f>'Google Ads Data'!F191/'Google Ads Data'!D191</f>
        <v>1.228774649</v>
      </c>
      <c r="G191" s="5">
        <f>'Google Ads Data'!D191/'Google Ads Data'!E191</f>
        <v>83.73111111</v>
      </c>
      <c r="H191" s="5">
        <f>('Google Ads Data'!D191/'Google Ads Data'!B191)*1000</f>
        <v>29.58289988</v>
      </c>
    </row>
    <row r="192" ht="15.75" customHeight="1">
      <c r="A192" s="3">
        <v>45117.0</v>
      </c>
      <c r="B192" s="6">
        <f>'Google Ads Data'!C192/'Google Ads Data'!B192</f>
        <v>0.02649819184</v>
      </c>
      <c r="C192" s="6">
        <f>'Google Ads Data'!E192/'Google Ads Data'!C192</f>
        <v>0.01380991064</v>
      </c>
      <c r="D192" s="5">
        <f>'Google Ads Data'!D192/'Google Ads Data'!C192</f>
        <v>1.460097482</v>
      </c>
      <c r="E192" s="5">
        <f>'Google Ads Data'!F192/'Google Ads Data'!E192</f>
        <v>125.1358824</v>
      </c>
      <c r="F192" s="7">
        <f>'Google Ads Data'!F192/'Google Ads Data'!D192</f>
        <v>1.183561629</v>
      </c>
      <c r="G192" s="5">
        <f>'Google Ads Data'!D192/'Google Ads Data'!E192</f>
        <v>105.7282353</v>
      </c>
      <c r="H192" s="5">
        <f>('Google Ads Data'!D192/'Google Ads Data'!B192)*1000</f>
        <v>38.68994317</v>
      </c>
    </row>
    <row r="193" ht="15.75" customHeight="1">
      <c r="A193" s="3">
        <v>45118.0</v>
      </c>
      <c r="B193" s="6">
        <f>'Google Ads Data'!C193/'Google Ads Data'!B193</f>
        <v>0.01288995057</v>
      </c>
      <c r="C193" s="6">
        <f>'Google Ads Data'!E193/'Google Ads Data'!C193</f>
        <v>0.01559633028</v>
      </c>
      <c r="D193" s="5">
        <f>'Google Ads Data'!D193/'Google Ads Data'!C193</f>
        <v>1.301009174</v>
      </c>
      <c r="E193" s="5">
        <f>'Google Ads Data'!F193/'Google Ads Data'!E193</f>
        <v>178.7258824</v>
      </c>
      <c r="F193" s="7">
        <f>'Google Ads Data'!F193/'Google Ads Data'!D193</f>
        <v>2.142542839</v>
      </c>
      <c r="G193" s="5">
        <f>'Google Ads Data'!D193/'Google Ads Data'!E193</f>
        <v>83.41764706</v>
      </c>
      <c r="H193" s="5">
        <f>('Google Ads Data'!D193/'Google Ads Data'!B193)*1000</f>
        <v>16.76994395</v>
      </c>
    </row>
    <row r="194" ht="15.75" customHeight="1">
      <c r="A194" s="3">
        <v>45119.0</v>
      </c>
      <c r="B194" s="6">
        <f>'Google Ads Data'!C194/'Google Ads Data'!B194</f>
        <v>0.02869626585</v>
      </c>
      <c r="C194" s="6">
        <f>'Google Ads Data'!E194/'Google Ads Data'!C194</f>
        <v>0.02278481013</v>
      </c>
      <c r="D194" s="5">
        <f>'Google Ads Data'!D194/'Google Ads Data'!C194</f>
        <v>1.220155515</v>
      </c>
      <c r="E194" s="5">
        <f>'Google Ads Data'!F194/'Google Ads Data'!E194</f>
        <v>153.7934921</v>
      </c>
      <c r="F194" s="7">
        <f>'Google Ads Data'!F194/'Google Ads Data'!D194</f>
        <v>2.871892534</v>
      </c>
      <c r="G194" s="5">
        <f>'Google Ads Data'!D194/'Google Ads Data'!E194</f>
        <v>53.55126984</v>
      </c>
      <c r="H194" s="5">
        <f>('Google Ads Data'!D194/'Google Ads Data'!B194)*1000</f>
        <v>35.01390705</v>
      </c>
    </row>
    <row r="195" ht="15.75" customHeight="1">
      <c r="A195" s="3">
        <v>45120.0</v>
      </c>
      <c r="B195" s="6">
        <f>'Google Ads Data'!C195/'Google Ads Data'!B195</f>
        <v>0.02919337607</v>
      </c>
      <c r="C195" s="6">
        <f>'Google Ads Data'!E195/'Google Ads Data'!C195</f>
        <v>0.02012808783</v>
      </c>
      <c r="D195" s="5">
        <f>'Google Ads Data'!D195/'Google Ads Data'!C195</f>
        <v>1.580356816</v>
      </c>
      <c r="E195" s="5">
        <f>'Google Ads Data'!F195/'Google Ads Data'!E195</f>
        <v>198.6927273</v>
      </c>
      <c r="F195" s="7">
        <f>'Google Ads Data'!F195/'Google Ads Data'!D195</f>
        <v>2.530633984</v>
      </c>
      <c r="G195" s="5">
        <f>'Google Ads Data'!D195/'Google Ads Data'!E195</f>
        <v>78.515</v>
      </c>
      <c r="H195" s="5">
        <f>('Google Ads Data'!D195/'Google Ads Data'!B195)*1000</f>
        <v>46.13595085</v>
      </c>
    </row>
    <row r="196" ht="15.75" customHeight="1">
      <c r="A196" s="3">
        <v>45121.0</v>
      </c>
      <c r="B196" s="6">
        <f>'Google Ads Data'!C196/'Google Ads Data'!B196</f>
        <v>0.01278333972</v>
      </c>
      <c r="C196" s="6">
        <f>'Google Ads Data'!E196/'Google Ads Data'!C196</f>
        <v>0.01854493581</v>
      </c>
      <c r="D196" s="5">
        <f>'Google Ads Data'!D196/'Google Ads Data'!C196</f>
        <v>1.722239658</v>
      </c>
      <c r="E196" s="5">
        <f>'Google Ads Data'!F196/'Google Ads Data'!E196</f>
        <v>201.0984615</v>
      </c>
      <c r="F196" s="7">
        <f>'Google Ads Data'!F196/'Google Ads Data'!D196</f>
        <v>2.16541179</v>
      </c>
      <c r="G196" s="5">
        <f>'Google Ads Data'!D196/'Google Ads Data'!E196</f>
        <v>92.86846154</v>
      </c>
      <c r="H196" s="5">
        <f>('Google Ads Data'!D196/'Google Ads Data'!B196)*1000</f>
        <v>22.01597462</v>
      </c>
    </row>
    <row r="197" ht="15.75" customHeight="1">
      <c r="A197" s="3">
        <v>45122.0</v>
      </c>
      <c r="B197" s="6">
        <f>'Google Ads Data'!C197/'Google Ads Data'!B197</f>
        <v>0.01819295164</v>
      </c>
      <c r="C197" s="6">
        <f>'Google Ads Data'!E197/'Google Ads Data'!C197</f>
        <v>0.01860053144</v>
      </c>
      <c r="D197" s="5">
        <f>'Google Ads Data'!D197/'Google Ads Data'!C197</f>
        <v>1.940744021</v>
      </c>
      <c r="E197" s="5">
        <f>'Google Ads Data'!F197/'Google Ads Data'!E197</f>
        <v>173.992381</v>
      </c>
      <c r="F197" s="7">
        <f>'Google Ads Data'!F197/'Google Ads Data'!D197</f>
        <v>1.667582493</v>
      </c>
      <c r="G197" s="5">
        <f>'Google Ads Data'!D197/'Google Ads Data'!E197</f>
        <v>104.3380952</v>
      </c>
      <c r="H197" s="5">
        <f>('Google Ads Data'!D197/'Google Ads Data'!B197)*1000</f>
        <v>35.30786213</v>
      </c>
    </row>
    <row r="198" ht="15.75" customHeight="1">
      <c r="A198" s="3">
        <v>45123.0</v>
      </c>
      <c r="B198" s="6">
        <f>'Google Ads Data'!C198/'Google Ads Data'!B198</f>
        <v>0.02419111678</v>
      </c>
      <c r="C198" s="6">
        <f>'Google Ads Data'!E198/'Google Ads Data'!C198</f>
        <v>0.02348993289</v>
      </c>
      <c r="D198" s="5">
        <f>'Google Ads Data'!D198/'Google Ads Data'!C198</f>
        <v>1.660608821</v>
      </c>
      <c r="E198" s="5">
        <f>'Google Ads Data'!F198/'Google Ads Data'!E198</f>
        <v>141.7126531</v>
      </c>
      <c r="F198" s="7">
        <f>'Google Ads Data'!F198/'Google Ads Data'!D198</f>
        <v>2.004578482</v>
      </c>
      <c r="G198" s="5">
        <f>'Google Ads Data'!D198/'Google Ads Data'!E198</f>
        <v>70.6944898</v>
      </c>
      <c r="H198" s="5">
        <f>('Google Ads Data'!D198/'Google Ads Data'!B198)*1000</f>
        <v>40.17198191</v>
      </c>
    </row>
    <row r="199" ht="15.75" customHeight="1">
      <c r="A199" s="3">
        <v>45124.0</v>
      </c>
      <c r="B199" s="6">
        <f>'Google Ads Data'!C199/'Google Ads Data'!B199</f>
        <v>0.02718479697</v>
      </c>
      <c r="C199" s="6">
        <f>'Google Ads Data'!E199/'Google Ads Data'!C199</f>
        <v>0.01567398119</v>
      </c>
      <c r="D199" s="5">
        <f>'Google Ads Data'!D199/'Google Ads Data'!C199</f>
        <v>1.400775862</v>
      </c>
      <c r="E199" s="5">
        <f>'Google Ads Data'!F199/'Google Ads Data'!E199</f>
        <v>193.4285</v>
      </c>
      <c r="F199" s="7">
        <f>'Google Ads Data'!F199/'Google Ads Data'!D199</f>
        <v>2.164368157</v>
      </c>
      <c r="G199" s="5">
        <f>'Google Ads Data'!D199/'Google Ads Data'!E199</f>
        <v>89.3695</v>
      </c>
      <c r="H199" s="5">
        <f>('Google Ads Data'!D199/'Google Ads Data'!B199)*1000</f>
        <v>38.07980741</v>
      </c>
    </row>
    <row r="200" ht="15.75" customHeight="1">
      <c r="A200" s="3">
        <v>45125.0</v>
      </c>
      <c r="B200" s="6">
        <f>'Google Ads Data'!C200/'Google Ads Data'!B200</f>
        <v>0.02209440212</v>
      </c>
      <c r="C200" s="6">
        <f>'Google Ads Data'!E200/'Google Ads Data'!C200</f>
        <v>0.01295496607</v>
      </c>
      <c r="D200" s="5">
        <f>'Google Ads Data'!D200/'Google Ads Data'!C200</f>
        <v>1.830462677</v>
      </c>
      <c r="E200" s="5">
        <f>'Google Ads Data'!F200/'Google Ads Data'!E200</f>
        <v>116.3171429</v>
      </c>
      <c r="F200" s="7">
        <f>'Google Ads Data'!F200/'Google Ads Data'!D200</f>
        <v>0.8232260935</v>
      </c>
      <c r="G200" s="5">
        <f>'Google Ads Data'!D200/'Google Ads Data'!E200</f>
        <v>141.2942857</v>
      </c>
      <c r="H200" s="5">
        <f>('Google Ads Data'!D200/'Google Ads Data'!B200)*1000</f>
        <v>40.44297845</v>
      </c>
    </row>
    <row r="201" ht="15.75" customHeight="1">
      <c r="A201" s="3">
        <v>45126.0</v>
      </c>
      <c r="B201" s="6">
        <f>'Google Ads Data'!C201/'Google Ads Data'!B201</f>
        <v>0.01617873652</v>
      </c>
      <c r="C201" s="6">
        <f>'Google Ads Data'!E201/'Google Ads Data'!C201</f>
        <v>0.02164502165</v>
      </c>
      <c r="D201" s="5">
        <f>'Google Ads Data'!D201/'Google Ads Data'!C201</f>
        <v>1.121471861</v>
      </c>
      <c r="E201" s="5">
        <f>'Google Ads Data'!F201/'Google Ads Data'!E201</f>
        <v>137.82</v>
      </c>
      <c r="F201" s="7">
        <f>'Google Ads Data'!F201/'Google Ads Data'!D201</f>
        <v>2.660001544</v>
      </c>
      <c r="G201" s="5">
        <f>'Google Ads Data'!D201/'Google Ads Data'!E201</f>
        <v>51.812</v>
      </c>
      <c r="H201" s="5">
        <f>('Google Ads Data'!D201/'Google Ads Data'!B201)*1000</f>
        <v>18.14399776</v>
      </c>
    </row>
    <row r="202" ht="15.75" customHeight="1">
      <c r="A202" s="3">
        <v>45127.0</v>
      </c>
      <c r="B202" s="6">
        <f>'Google Ads Data'!C202/'Google Ads Data'!B202</f>
        <v>0.02939757486</v>
      </c>
      <c r="C202" s="6">
        <f>'Google Ads Data'!E202/'Google Ads Data'!C202</f>
        <v>0.01422319475</v>
      </c>
      <c r="D202" s="5">
        <f>'Google Ads Data'!D202/'Google Ads Data'!C202</f>
        <v>1.47012035</v>
      </c>
      <c r="E202" s="5">
        <f>'Google Ads Data'!F202/'Google Ads Data'!E202</f>
        <v>164.8992308</v>
      </c>
      <c r="F202" s="7">
        <f>'Google Ads Data'!F202/'Google Ads Data'!D202</f>
        <v>1.595375421</v>
      </c>
      <c r="G202" s="5">
        <f>'Google Ads Data'!D202/'Google Ads Data'!E202</f>
        <v>103.3607692</v>
      </c>
      <c r="H202" s="5">
        <f>('Google Ads Data'!D202/'Google Ads Data'!B202)*1000</f>
        <v>43.21797305</v>
      </c>
    </row>
    <row r="203" ht="15.75" customHeight="1">
      <c r="A203" s="3">
        <v>45128.0</v>
      </c>
      <c r="B203" s="6">
        <f>'Google Ads Data'!C203/'Google Ads Data'!B203</f>
        <v>0.01177673096</v>
      </c>
      <c r="C203" s="6">
        <f>'Google Ads Data'!E203/'Google Ads Data'!C203</f>
        <v>0.02264150943</v>
      </c>
      <c r="D203" s="5">
        <f>'Google Ads Data'!D203/'Google Ads Data'!C203</f>
        <v>1.25245283</v>
      </c>
      <c r="E203" s="5">
        <f>'Google Ads Data'!F203/'Google Ads Data'!E203</f>
        <v>142.0333333</v>
      </c>
      <c r="F203" s="7">
        <f>'Google Ads Data'!F203/'Google Ads Data'!D203</f>
        <v>2.567640856</v>
      </c>
      <c r="G203" s="5">
        <f>'Google Ads Data'!D203/'Google Ads Data'!E203</f>
        <v>55.31666667</v>
      </c>
      <c r="H203" s="5">
        <f>('Google Ads Data'!D203/'Google Ads Data'!B203)*1000</f>
        <v>14.74980002</v>
      </c>
    </row>
    <row r="204" ht="15.75" customHeight="1">
      <c r="A204" s="3">
        <v>45129.0</v>
      </c>
      <c r="B204" s="6">
        <f>'Google Ads Data'!C204/'Google Ads Data'!B204</f>
        <v>0.01556369907</v>
      </c>
      <c r="C204" s="6">
        <f>'Google Ads Data'!E204/'Google Ads Data'!C204</f>
        <v>0.01385041551</v>
      </c>
      <c r="D204" s="5">
        <f>'Google Ads Data'!D204/'Google Ads Data'!C204</f>
        <v>1.87434903</v>
      </c>
      <c r="E204" s="5">
        <f>'Google Ads Data'!F204/'Google Ads Data'!E204</f>
        <v>117.534</v>
      </c>
      <c r="F204" s="7">
        <f>'Google Ads Data'!F204/'Google Ads Data'!D204</f>
        <v>0.8685120596</v>
      </c>
      <c r="G204" s="5">
        <f>'Google Ads Data'!D204/'Google Ads Data'!E204</f>
        <v>135.328</v>
      </c>
      <c r="H204" s="5">
        <f>('Google Ads Data'!D204/'Google Ads Data'!B204)*1000</f>
        <v>29.17180427</v>
      </c>
    </row>
    <row r="205" ht="15.75" customHeight="1">
      <c r="A205" s="3">
        <v>45130.0</v>
      </c>
      <c r="B205" s="6">
        <f>'Google Ads Data'!C205/'Google Ads Data'!B205</f>
        <v>0.02256809339</v>
      </c>
      <c r="C205" s="6">
        <f>'Google Ads Data'!E205/'Google Ads Data'!C205</f>
        <v>0.01856763926</v>
      </c>
      <c r="D205" s="5">
        <f>'Google Ads Data'!D205/'Google Ads Data'!C205</f>
        <v>1.812546419</v>
      </c>
      <c r="E205" s="5">
        <f>'Google Ads Data'!F205/'Google Ads Data'!E205</f>
        <v>219.9828571</v>
      </c>
      <c r="F205" s="7">
        <f>'Google Ads Data'!F205/'Google Ads Data'!D205</f>
        <v>2.253493919</v>
      </c>
      <c r="G205" s="5">
        <f>'Google Ads Data'!D205/'Google Ads Data'!E205</f>
        <v>97.61857143</v>
      </c>
      <c r="H205" s="5">
        <f>('Google Ads Data'!D205/'Google Ads Data'!B205)*1000</f>
        <v>40.90571685</v>
      </c>
    </row>
    <row r="206" ht="15.75" customHeight="1">
      <c r="A206" s="3">
        <v>45131.0</v>
      </c>
      <c r="B206" s="6">
        <f>'Google Ads Data'!C206/'Google Ads Data'!B206</f>
        <v>0.02189772753</v>
      </c>
      <c r="C206" s="6">
        <f>'Google Ads Data'!E206/'Google Ads Data'!C206</f>
        <v>0.01655457838</v>
      </c>
      <c r="D206" s="5">
        <f>'Google Ads Data'!D206/'Google Ads Data'!C206</f>
        <v>1.060108639</v>
      </c>
      <c r="E206" s="5">
        <f>'Google Ads Data'!F206/'Google Ads Data'!E206</f>
        <v>121.3446875</v>
      </c>
      <c r="F206" s="7">
        <f>'Google Ads Data'!F206/'Google Ads Data'!D206</f>
        <v>1.894909696</v>
      </c>
      <c r="G206" s="5">
        <f>'Google Ads Data'!D206/'Google Ads Data'!E206</f>
        <v>64.0371875</v>
      </c>
      <c r="H206" s="5">
        <f>('Google Ads Data'!D206/'Google Ads Data'!B206)*1000</f>
        <v>23.21397014</v>
      </c>
    </row>
    <row r="207" ht="15.75" customHeight="1">
      <c r="A207" s="3">
        <v>45132.0</v>
      </c>
      <c r="B207" s="6">
        <f>'Google Ads Data'!C207/'Google Ads Data'!B207</f>
        <v>0.01127444714</v>
      </c>
      <c r="C207" s="6">
        <f>'Google Ads Data'!E207/'Google Ads Data'!C207</f>
        <v>0.01814058957</v>
      </c>
      <c r="D207" s="5">
        <f>'Google Ads Data'!D207/'Google Ads Data'!C207</f>
        <v>1.122517007</v>
      </c>
      <c r="E207" s="5">
        <f>'Google Ads Data'!F207/'Google Ads Data'!E207</f>
        <v>188.955</v>
      </c>
      <c r="F207" s="7">
        <f>'Google Ads Data'!F207/'Google Ads Data'!D207</f>
        <v>3.053633113</v>
      </c>
      <c r="G207" s="5">
        <f>'Google Ads Data'!D207/'Google Ads Data'!E207</f>
        <v>61.87875</v>
      </c>
      <c r="H207" s="5">
        <f>('Google Ads Data'!D207/'Google Ads Data'!B207)*1000</f>
        <v>12.65575866</v>
      </c>
    </row>
    <row r="208" ht="15.75" customHeight="1">
      <c r="A208" s="3">
        <v>45133.0</v>
      </c>
      <c r="B208" s="6">
        <f>'Google Ads Data'!C208/'Google Ads Data'!B208</f>
        <v>0.01988336573</v>
      </c>
      <c r="C208" s="6">
        <f>'Google Ads Data'!E208/'Google Ads Data'!C208</f>
        <v>0.02234636872</v>
      </c>
      <c r="D208" s="5">
        <f>'Google Ads Data'!D208/'Google Ads Data'!C208</f>
        <v>1.371145251</v>
      </c>
      <c r="E208" s="5">
        <f>'Google Ads Data'!F208/'Google Ads Data'!E208</f>
        <v>135.375</v>
      </c>
      <c r="F208" s="7">
        <f>'Google Ads Data'!F208/'Google Ads Data'!D208</f>
        <v>2.206286797</v>
      </c>
      <c r="G208" s="5">
        <f>'Google Ads Data'!D208/'Google Ads Data'!E208</f>
        <v>61.35875</v>
      </c>
      <c r="H208" s="5">
        <f>('Google Ads Data'!D208/'Google Ads Data'!B208)*1000</f>
        <v>27.2629825</v>
      </c>
    </row>
    <row r="209" ht="15.75" customHeight="1">
      <c r="A209" s="3">
        <v>45134.0</v>
      </c>
      <c r="B209" s="6">
        <f>'Google Ads Data'!C209/'Google Ads Data'!B209</f>
        <v>0.02899332354</v>
      </c>
      <c r="C209" s="6">
        <f>'Google Ads Data'!E209/'Google Ads Data'!C209</f>
        <v>0.01218729955</v>
      </c>
      <c r="D209" s="5">
        <f>'Google Ads Data'!D209/'Google Ads Data'!C209</f>
        <v>1.760404105</v>
      </c>
      <c r="E209" s="5">
        <f>'Google Ads Data'!F209/'Google Ads Data'!E209</f>
        <v>144.7742105</v>
      </c>
      <c r="F209" s="7">
        <f>'Google Ads Data'!F209/'Google Ads Data'!D209</f>
        <v>1.002273663</v>
      </c>
      <c r="G209" s="5">
        <f>'Google Ads Data'!D209/'Google Ads Data'!E209</f>
        <v>144.4457895</v>
      </c>
      <c r="H209" s="5">
        <f>('Google Ads Data'!D209/'Google Ads Data'!B209)*1000</f>
        <v>51.03996578</v>
      </c>
    </row>
    <row r="210" ht="15.75" customHeight="1">
      <c r="A210" s="3">
        <v>45135.0</v>
      </c>
      <c r="B210" s="6">
        <f>'Google Ads Data'!C210/'Google Ads Data'!B210</f>
        <v>0.01299113519</v>
      </c>
      <c r="C210" s="6">
        <f>'Google Ads Data'!E210/'Google Ads Data'!C210</f>
        <v>0.01745200698</v>
      </c>
      <c r="D210" s="5">
        <f>'Google Ads Data'!D210/'Google Ads Data'!C210</f>
        <v>1.751186736</v>
      </c>
      <c r="E210" s="5">
        <f>'Google Ads Data'!F210/'Google Ads Data'!E210</f>
        <v>117.006</v>
      </c>
      <c r="F210" s="7">
        <f>'Google Ads Data'!F210/'Google Ads Data'!D210</f>
        <v>1.166060413</v>
      </c>
      <c r="G210" s="5">
        <f>'Google Ads Data'!D210/'Google Ads Data'!E210</f>
        <v>100.343</v>
      </c>
      <c r="H210" s="5">
        <f>('Google Ads Data'!D210/'Google Ads Data'!B210)*1000</f>
        <v>22.74990364</v>
      </c>
    </row>
    <row r="211" ht="15.75" customHeight="1">
      <c r="A211" s="3">
        <v>45136.0</v>
      </c>
      <c r="B211" s="6">
        <f>'Google Ads Data'!C211/'Google Ads Data'!B211</f>
        <v>0.02377972466</v>
      </c>
      <c r="C211" s="6">
        <f>'Google Ads Data'!E211/'Google Ads Data'!C211</f>
        <v>0.01651186791</v>
      </c>
      <c r="D211" s="5">
        <f>'Google Ads Data'!D211/'Google Ads Data'!C211</f>
        <v>1.321124871</v>
      </c>
      <c r="E211" s="5">
        <f>'Google Ads Data'!F211/'Google Ads Data'!E211</f>
        <v>175.12</v>
      </c>
      <c r="F211" s="7">
        <f>'Google Ads Data'!F211/'Google Ads Data'!D211</f>
        <v>2.188709312</v>
      </c>
      <c r="G211" s="5">
        <f>'Google Ads Data'!D211/'Google Ads Data'!E211</f>
        <v>80.010625</v>
      </c>
      <c r="H211" s="5">
        <f>('Google Ads Data'!D211/'Google Ads Data'!B211)*1000</f>
        <v>31.41598567</v>
      </c>
    </row>
    <row r="212" ht="15.75" customHeight="1">
      <c r="A212" s="3">
        <v>45137.0</v>
      </c>
      <c r="B212" s="6">
        <f>'Google Ads Data'!C212/'Google Ads Data'!B212</f>
        <v>0.01748295102</v>
      </c>
      <c r="C212" s="6">
        <f>'Google Ads Data'!E212/'Google Ads Data'!C212</f>
        <v>0.01654846336</v>
      </c>
      <c r="D212" s="5">
        <f>'Google Ads Data'!D212/'Google Ads Data'!C212</f>
        <v>1.11107565</v>
      </c>
      <c r="E212" s="5">
        <f>'Google Ads Data'!F212/'Google Ads Data'!E212</f>
        <v>165.24</v>
      </c>
      <c r="F212" s="7">
        <f>'Google Ads Data'!F212/'Google Ads Data'!D212</f>
        <v>2.461099822</v>
      </c>
      <c r="G212" s="5">
        <f>'Google Ads Data'!D212/'Google Ads Data'!E212</f>
        <v>67.14071429</v>
      </c>
      <c r="H212" s="5">
        <f>('Google Ads Data'!D212/'Google Ads Data'!B212)*1000</f>
        <v>19.42488117</v>
      </c>
    </row>
    <row r="213" ht="15.75" customHeight="1">
      <c r="A213" s="3">
        <v>45138.0</v>
      </c>
      <c r="B213" s="6">
        <f>'Google Ads Data'!C213/'Google Ads Data'!B213</f>
        <v>0.02368016683</v>
      </c>
      <c r="C213" s="6">
        <f>'Google Ads Data'!E213/'Google Ads Data'!C213</f>
        <v>0.01853997683</v>
      </c>
      <c r="D213" s="5">
        <f>'Google Ads Data'!D213/'Google Ads Data'!C213</f>
        <v>1.851541136</v>
      </c>
      <c r="E213" s="5">
        <f>'Google Ads Data'!F213/'Google Ads Data'!E213</f>
        <v>191.649375</v>
      </c>
      <c r="F213" s="7">
        <f>'Google Ads Data'!F213/'Google Ads Data'!D213</f>
        <v>1.919036473</v>
      </c>
      <c r="G213" s="5">
        <f>'Google Ads Data'!D213/'Google Ads Data'!E213</f>
        <v>99.8675</v>
      </c>
      <c r="H213" s="5">
        <f>('Google Ads Data'!D213/'Google Ads Data'!B213)*1000</f>
        <v>43.84480299</v>
      </c>
    </row>
    <row r="214" ht="15.75" customHeight="1">
      <c r="A214" s="3">
        <v>45139.0</v>
      </c>
      <c r="B214" s="6">
        <f>'Google Ads Data'!C214/'Google Ads Data'!B214</f>
        <v>0.01549627305</v>
      </c>
      <c r="C214" s="6">
        <f>'Google Ads Data'!E214/'Google Ads Data'!C214</f>
        <v>0.0164556962</v>
      </c>
      <c r="D214" s="5">
        <f>'Google Ads Data'!D214/'Google Ads Data'!C214</f>
        <v>1.410329114</v>
      </c>
      <c r="E214" s="5">
        <f>'Google Ads Data'!F214/'Google Ads Data'!E214</f>
        <v>170.5353846</v>
      </c>
      <c r="F214" s="7">
        <f>'Google Ads Data'!F214/'Google Ads Data'!D214</f>
        <v>1.989803978</v>
      </c>
      <c r="G214" s="5">
        <f>'Google Ads Data'!D214/'Google Ads Data'!E214</f>
        <v>85.70461538</v>
      </c>
      <c r="H214" s="5">
        <f>('Google Ads Data'!D214/'Google Ads Data'!B214)*1000</f>
        <v>21.85484504</v>
      </c>
    </row>
    <row r="215" ht="15.75" customHeight="1">
      <c r="A215" s="3">
        <v>45140.0</v>
      </c>
      <c r="B215" s="6">
        <f>'Google Ads Data'!C215/'Google Ads Data'!B215</f>
        <v>0.01608316541</v>
      </c>
      <c r="C215" s="6">
        <f>'Google Ads Data'!E215/'Google Ads Data'!C215</f>
        <v>0.02224824356</v>
      </c>
      <c r="D215" s="5">
        <f>'Google Ads Data'!D215/'Google Ads Data'!C215</f>
        <v>1.101147541</v>
      </c>
      <c r="E215" s="5">
        <f>'Google Ads Data'!F215/'Google Ads Data'!E215</f>
        <v>116.4321053</v>
      </c>
      <c r="F215" s="7">
        <f>'Google Ads Data'!F215/'Google Ads Data'!D215</f>
        <v>2.352463898</v>
      </c>
      <c r="G215" s="5">
        <f>'Google Ads Data'!D215/'Google Ads Data'!E215</f>
        <v>49.49368421</v>
      </c>
      <c r="H215" s="5">
        <f>('Google Ads Data'!D215/'Google Ads Data'!B215)*1000</f>
        <v>17.70993804</v>
      </c>
    </row>
    <row r="216" ht="15.75" customHeight="1">
      <c r="A216" s="3">
        <v>45141.0</v>
      </c>
      <c r="B216" s="6">
        <f>'Google Ads Data'!C216/'Google Ads Data'!B216</f>
        <v>0.02688690129</v>
      </c>
      <c r="C216" s="6">
        <f>'Google Ads Data'!E216/'Google Ads Data'!C216</f>
        <v>0.02170620899</v>
      </c>
      <c r="D216" s="5">
        <f>'Google Ads Data'!D216/'Google Ads Data'!C216</f>
        <v>1.560757193</v>
      </c>
      <c r="E216" s="5">
        <f>'Google Ads Data'!F216/'Google Ads Data'!E216</f>
        <v>139.1616279</v>
      </c>
      <c r="F216" s="7">
        <f>'Google Ads Data'!F216/'Google Ads Data'!D216</f>
        <v>1.935388407</v>
      </c>
      <c r="G216" s="5">
        <f>'Google Ads Data'!D216/'Google Ads Data'!E216</f>
        <v>71.90372093</v>
      </c>
      <c r="H216" s="5">
        <f>('Google Ads Data'!D216/'Google Ads Data'!B216)*1000</f>
        <v>41.96392459</v>
      </c>
    </row>
    <row r="217" ht="15.75" customHeight="1">
      <c r="A217" s="3">
        <v>45142.0</v>
      </c>
      <c r="B217" s="6">
        <f>'Google Ads Data'!C217/'Google Ads Data'!B217</f>
        <v>0.02059155797</v>
      </c>
      <c r="C217" s="6">
        <f>'Google Ads Data'!E217/'Google Ads Data'!C217</f>
        <v>0.0174563591</v>
      </c>
      <c r="D217" s="5">
        <f>'Google Ads Data'!D217/'Google Ads Data'!C217</f>
        <v>1.530623441</v>
      </c>
      <c r="E217" s="5">
        <f>'Google Ads Data'!F217/'Google Ads Data'!E217</f>
        <v>137.8285714</v>
      </c>
      <c r="F217" s="7">
        <f>'Google Ads Data'!F217/'Google Ads Data'!D217</f>
        <v>1.571898726</v>
      </c>
      <c r="G217" s="5">
        <f>'Google Ads Data'!D217/'Google Ads Data'!E217</f>
        <v>87.68285714</v>
      </c>
      <c r="H217" s="5">
        <f>('Google Ads Data'!D217/'Google Ads Data'!B217)*1000</f>
        <v>31.51792133</v>
      </c>
    </row>
    <row r="218" ht="15.75" customHeight="1">
      <c r="A218" s="3">
        <v>45143.0</v>
      </c>
      <c r="B218" s="6">
        <f>'Google Ads Data'!C218/'Google Ads Data'!B218</f>
        <v>0.02127552307</v>
      </c>
      <c r="C218" s="6">
        <f>'Google Ads Data'!E218/'Google Ads Data'!C218</f>
        <v>0.01895734597</v>
      </c>
      <c r="D218" s="5">
        <f>'Google Ads Data'!D218/'Google Ads Data'!C218</f>
        <v>1.601836493</v>
      </c>
      <c r="E218" s="5">
        <f>'Google Ads Data'!F218/'Google Ads Data'!E218</f>
        <v>125.731875</v>
      </c>
      <c r="F218" s="7">
        <f>'Google Ads Data'!F218/'Google Ads Data'!D218</f>
        <v>1.488006213</v>
      </c>
      <c r="G218" s="5">
        <f>'Google Ads Data'!D218/'Google Ads Data'!E218</f>
        <v>84.496875</v>
      </c>
      <c r="H218" s="5">
        <f>('Google Ads Data'!D218/'Google Ads Data'!B218)*1000</f>
        <v>34.07990925</v>
      </c>
    </row>
    <row r="219" ht="15.75" customHeight="1">
      <c r="A219" s="3">
        <v>45144.0</v>
      </c>
      <c r="B219" s="6">
        <f>'Google Ads Data'!C219/'Google Ads Data'!B219</f>
        <v>0.0125930166</v>
      </c>
      <c r="C219" s="6">
        <f>'Google Ads Data'!E219/'Google Ads Data'!C219</f>
        <v>0.0211038961</v>
      </c>
      <c r="D219" s="5">
        <f>'Google Ads Data'!D219/'Google Ads Data'!C219</f>
        <v>1.150633117</v>
      </c>
      <c r="E219" s="5">
        <f>'Google Ads Data'!F219/'Google Ads Data'!E219</f>
        <v>148.4769231</v>
      </c>
      <c r="F219" s="7">
        <f>'Google Ads Data'!F219/'Google Ads Data'!D219</f>
        <v>2.723232551</v>
      </c>
      <c r="G219" s="5">
        <f>'Google Ads Data'!D219/'Google Ads Data'!E219</f>
        <v>54.52230769</v>
      </c>
      <c r="H219" s="5">
        <f>('Google Ads Data'!D219/'Google Ads Data'!B219)*1000</f>
        <v>14.48994194</v>
      </c>
    </row>
    <row r="220" ht="15.75" customHeight="1">
      <c r="A220" s="3">
        <v>45145.0</v>
      </c>
      <c r="B220" s="6">
        <f>'Google Ads Data'!C220/'Google Ads Data'!B220</f>
        <v>0.02959993833</v>
      </c>
      <c r="C220" s="6">
        <f>'Google Ads Data'!E220/'Google Ads Data'!C220</f>
        <v>0.02395833333</v>
      </c>
      <c r="D220" s="5">
        <f>'Google Ads Data'!D220/'Google Ads Data'!C220</f>
        <v>1.96</v>
      </c>
      <c r="E220" s="5">
        <f>'Google Ads Data'!F220/'Google Ads Data'!E220</f>
        <v>162.95</v>
      </c>
      <c r="F220" s="7">
        <f>'Google Ads Data'!F220/'Google Ads Data'!D220</f>
        <v>1.991842049</v>
      </c>
      <c r="G220" s="5">
        <f>'Google Ads Data'!D220/'Google Ads Data'!E220</f>
        <v>81.80869565</v>
      </c>
      <c r="H220" s="5">
        <f>('Google Ads Data'!D220/'Google Ads Data'!B220)*1000</f>
        <v>58.01587913</v>
      </c>
    </row>
    <row r="221" ht="15.75" customHeight="1">
      <c r="A221" s="3">
        <v>45146.0</v>
      </c>
      <c r="B221" s="6">
        <f>'Google Ads Data'!C221/'Google Ads Data'!B221</f>
        <v>0.01679926561</v>
      </c>
      <c r="C221" s="6">
        <f>'Google Ads Data'!E221/'Google Ads Data'!C221</f>
        <v>0.02125075896</v>
      </c>
      <c r="D221" s="5">
        <f>'Google Ads Data'!D221/'Google Ads Data'!C221</f>
        <v>1.180048573</v>
      </c>
      <c r="E221" s="5">
        <f>'Google Ads Data'!F221/'Google Ads Data'!E221</f>
        <v>124.2928571</v>
      </c>
      <c r="F221" s="7">
        <f>'Google Ads Data'!F221/'Google Ads Data'!D221</f>
        <v>2.238312564</v>
      </c>
      <c r="G221" s="5">
        <f>'Google Ads Data'!D221/'Google Ads Data'!E221</f>
        <v>55.52971429</v>
      </c>
      <c r="H221" s="5">
        <f>('Google Ads Data'!D221/'Google Ads Data'!B221)*1000</f>
        <v>19.82394941</v>
      </c>
    </row>
    <row r="222" ht="15.75" customHeight="1">
      <c r="A222" s="3">
        <v>45147.0</v>
      </c>
      <c r="B222" s="6">
        <f>'Google Ads Data'!C222/'Google Ads Data'!B222</f>
        <v>0.01009790982</v>
      </c>
      <c r="C222" s="6">
        <f>'Google Ads Data'!E222/'Google Ads Data'!C222</f>
        <v>0.02431610942</v>
      </c>
      <c r="D222" s="5">
        <f>'Google Ads Data'!D222/'Google Ads Data'!C222</f>
        <v>1.400273556</v>
      </c>
      <c r="E222" s="5">
        <f>'Google Ads Data'!F222/'Google Ads Data'!E222</f>
        <v>132.0175</v>
      </c>
      <c r="F222" s="7">
        <f>'Google Ads Data'!F222/'Google Ads Data'!D222</f>
        <v>2.292517745</v>
      </c>
      <c r="G222" s="5">
        <f>'Google Ads Data'!D222/'Google Ads Data'!E222</f>
        <v>57.58625</v>
      </c>
      <c r="H222" s="5">
        <f>('Google Ads Data'!D222/'Google Ads Data'!B222)*1000</f>
        <v>14.1398361</v>
      </c>
    </row>
    <row r="223" ht="15.75" customHeight="1">
      <c r="A223" s="3">
        <v>45148.0</v>
      </c>
      <c r="B223" s="6">
        <f>'Google Ads Data'!C223/'Google Ads Data'!B223</f>
        <v>0.02089552239</v>
      </c>
      <c r="C223" s="6">
        <f>'Google Ads Data'!E223/'Google Ads Data'!C223</f>
        <v>0.0128314799</v>
      </c>
      <c r="D223" s="5">
        <f>'Google Ads Data'!D223/'Google Ads Data'!C223</f>
        <v>1.930410607</v>
      </c>
      <c r="E223" s="5">
        <f>'Google Ads Data'!F223/'Google Ads Data'!E223</f>
        <v>160.32</v>
      </c>
      <c r="F223" s="7">
        <f>'Google Ads Data'!F223/'Google Ads Data'!D223</f>
        <v>1.065650411</v>
      </c>
      <c r="G223" s="5">
        <f>'Google Ads Data'!D223/'Google Ads Data'!E223</f>
        <v>150.4433333</v>
      </c>
      <c r="H223" s="5">
        <f>('Google Ads Data'!D223/'Google Ads Data'!B223)*1000</f>
        <v>40.33693806</v>
      </c>
    </row>
    <row r="224" ht="15.75" customHeight="1">
      <c r="A224" s="3">
        <v>45149.0</v>
      </c>
      <c r="B224" s="6">
        <f>'Google Ads Data'!C224/'Google Ads Data'!B224</f>
        <v>0.01488972336</v>
      </c>
      <c r="C224" s="6">
        <f>'Google Ads Data'!E224/'Google Ads Data'!C224</f>
        <v>0.02234636872</v>
      </c>
      <c r="D224" s="5">
        <f>'Google Ads Data'!D224/'Google Ads Data'!C224</f>
        <v>1.551069433</v>
      </c>
      <c r="E224" s="5">
        <f>'Google Ads Data'!F224/'Google Ads Data'!E224</f>
        <v>109.825</v>
      </c>
      <c r="F224" s="7">
        <f>'Google Ads Data'!F224/'Google Ads Data'!D224</f>
        <v>1.582256662</v>
      </c>
      <c r="G224" s="5">
        <f>'Google Ads Data'!D224/'Google Ads Data'!E224</f>
        <v>69.41035714</v>
      </c>
      <c r="H224" s="5">
        <f>('Google Ads Data'!D224/'Google Ads Data'!B224)*1000</f>
        <v>23.09499477</v>
      </c>
    </row>
    <row r="225" ht="15.75" customHeight="1">
      <c r="A225" s="3">
        <v>45150.0</v>
      </c>
      <c r="B225" s="6">
        <f>'Google Ads Data'!C225/'Google Ads Data'!B225</f>
        <v>0.01665799063</v>
      </c>
      <c r="C225" s="6">
        <f>'Google Ads Data'!E225/'Google Ads Data'!C225</f>
        <v>0.02083333333</v>
      </c>
      <c r="D225" s="5">
        <f>'Google Ads Data'!D225/'Google Ads Data'!C225</f>
        <v>1.8646875</v>
      </c>
      <c r="E225" s="5">
        <f>'Google Ads Data'!F225/'Google Ads Data'!E225</f>
        <v>200.6066667</v>
      </c>
      <c r="F225" s="7">
        <f>'Google Ads Data'!F225/'Google Ads Data'!D225</f>
        <v>2.241290058</v>
      </c>
      <c r="G225" s="5">
        <f>'Google Ads Data'!D225/'Google Ads Data'!E225</f>
        <v>89.505</v>
      </c>
      <c r="H225" s="5">
        <f>('Google Ads Data'!D225/'Google Ads Data'!B225)*1000</f>
        <v>31.0619469</v>
      </c>
    </row>
    <row r="226" ht="15.75" customHeight="1">
      <c r="A226" s="3">
        <v>45151.0</v>
      </c>
      <c r="B226" s="6">
        <f>'Google Ads Data'!C226/'Google Ads Data'!B226</f>
        <v>0.01298370209</v>
      </c>
      <c r="C226" s="6">
        <f>'Google Ads Data'!E226/'Google Ads Data'!C226</f>
        <v>0.0126227209</v>
      </c>
      <c r="D226" s="5">
        <f>'Google Ads Data'!D226/'Google Ads Data'!C226</f>
        <v>1.491865358</v>
      </c>
      <c r="E226" s="5">
        <f>'Google Ads Data'!F226/'Google Ads Data'!E226</f>
        <v>119.9344444</v>
      </c>
      <c r="F226" s="7">
        <f>'Google Ads Data'!F226/'Google Ads Data'!D226</f>
        <v>1.014769202</v>
      </c>
      <c r="G226" s="5">
        <f>'Google Ads Data'!D226/'Google Ads Data'!E226</f>
        <v>118.1888889</v>
      </c>
      <c r="H226" s="5">
        <f>('Google Ads Data'!D226/'Google Ads Data'!B226)*1000</f>
        <v>19.36993535</v>
      </c>
    </row>
    <row r="227" ht="15.75" customHeight="1">
      <c r="A227" s="3">
        <v>45152.0</v>
      </c>
      <c r="B227" s="6">
        <f>'Google Ads Data'!C227/'Google Ads Data'!B227</f>
        <v>0.0220952381</v>
      </c>
      <c r="C227" s="6">
        <f>'Google Ads Data'!E227/'Google Ads Data'!C227</f>
        <v>0.01867816092</v>
      </c>
      <c r="D227" s="5">
        <f>'Google Ads Data'!D227/'Google Ads Data'!C227</f>
        <v>1.24026341</v>
      </c>
      <c r="E227" s="5">
        <f>'Google Ads Data'!F227/'Google Ads Data'!E227</f>
        <v>204.5610256</v>
      </c>
      <c r="F227" s="7">
        <f>'Google Ads Data'!F227/'Google Ads Data'!D227</f>
        <v>3.080655064</v>
      </c>
      <c r="G227" s="5">
        <f>'Google Ads Data'!D227/'Google Ads Data'!E227</f>
        <v>66.40179487</v>
      </c>
      <c r="H227" s="5">
        <f>('Google Ads Data'!D227/'Google Ads Data'!B227)*1000</f>
        <v>27.40391534</v>
      </c>
    </row>
    <row r="228" ht="15.75" customHeight="1">
      <c r="A228" s="3">
        <v>45153.0</v>
      </c>
      <c r="B228" s="6">
        <f>'Google Ads Data'!C228/'Google Ads Data'!B228</f>
        <v>0.02839015808</v>
      </c>
      <c r="C228" s="6">
        <f>'Google Ads Data'!E228/'Google Ads Data'!C228</f>
        <v>0.01220657277</v>
      </c>
      <c r="D228" s="5">
        <f>'Google Ads Data'!D228/'Google Ads Data'!C228</f>
        <v>1.650568075</v>
      </c>
      <c r="E228" s="5">
        <f>'Google Ads Data'!F228/'Google Ads Data'!E228</f>
        <v>135.22</v>
      </c>
      <c r="F228" s="7">
        <f>'Google Ads Data'!F228/'Google Ads Data'!D228</f>
        <v>1.000002844</v>
      </c>
      <c r="G228" s="5">
        <f>'Google Ads Data'!D228/'Google Ads Data'!E228</f>
        <v>135.2196154</v>
      </c>
      <c r="H228" s="5">
        <f>('Google Ads Data'!D228/'Google Ads Data'!B228)*1000</f>
        <v>46.85988857</v>
      </c>
    </row>
    <row r="229" ht="15.75" customHeight="1">
      <c r="A229" s="3">
        <v>45154.0</v>
      </c>
      <c r="B229" s="6">
        <f>'Google Ads Data'!C229/'Google Ads Data'!B229</f>
        <v>0.0245710586</v>
      </c>
      <c r="C229" s="6">
        <f>'Google Ads Data'!E229/'Google Ads Data'!C229</f>
        <v>0.01185770751</v>
      </c>
      <c r="D229" s="5">
        <f>'Google Ads Data'!D229/'Google Ads Data'!C229</f>
        <v>1.101291173</v>
      </c>
      <c r="E229" s="5">
        <f>'Google Ads Data'!F229/'Google Ads Data'!E229</f>
        <v>167.5144444</v>
      </c>
      <c r="F229" s="7">
        <f>'Google Ads Data'!F229/'Google Ads Data'!D229</f>
        <v>1.803644064</v>
      </c>
      <c r="G229" s="5">
        <f>'Google Ads Data'!D229/'Google Ads Data'!E229</f>
        <v>92.87555556</v>
      </c>
      <c r="H229" s="5">
        <f>('Google Ads Data'!D229/'Google Ads Data'!B229)*1000</f>
        <v>27.05988993</v>
      </c>
    </row>
    <row r="230" ht="15.75" customHeight="1">
      <c r="A230" s="3">
        <v>45155.0</v>
      </c>
      <c r="B230" s="6">
        <f>'Google Ads Data'!C230/'Google Ads Data'!B230</f>
        <v>0.0132981056</v>
      </c>
      <c r="C230" s="6">
        <f>'Google Ads Data'!E230/'Google Ads Data'!C230</f>
        <v>0.02061005771</v>
      </c>
      <c r="D230" s="5">
        <f>'Google Ads Data'!D230/'Google Ads Data'!C230</f>
        <v>1.830255565</v>
      </c>
      <c r="E230" s="5">
        <f>'Google Ads Data'!F230/'Google Ads Data'!E230</f>
        <v>140.5728</v>
      </c>
      <c r="F230" s="7">
        <f>'Google Ads Data'!F230/'Google Ads Data'!D230</f>
        <v>1.582955723</v>
      </c>
      <c r="G230" s="5">
        <f>'Google Ads Data'!D230/'Google Ads Data'!E230</f>
        <v>88.804</v>
      </c>
      <c r="H230" s="5">
        <f>('Google Ads Data'!D230/'Google Ads Data'!B230)*1000</f>
        <v>24.33893177</v>
      </c>
    </row>
    <row r="231" ht="15.75" customHeight="1">
      <c r="A231" s="3">
        <v>45156.0</v>
      </c>
      <c r="B231" s="6">
        <f>'Google Ads Data'!C231/'Google Ads Data'!B231</f>
        <v>0.01919014568</v>
      </c>
      <c r="C231" s="6">
        <f>'Google Ads Data'!E231/'Google Ads Data'!C231</f>
        <v>0.02430307362</v>
      </c>
      <c r="D231" s="5">
        <f>'Google Ads Data'!D231/'Google Ads Data'!C231</f>
        <v>1.520779128</v>
      </c>
      <c r="E231" s="5">
        <f>'Google Ads Data'!F231/'Google Ads Data'!E231</f>
        <v>145.2414706</v>
      </c>
      <c r="F231" s="7">
        <f>'Google Ads Data'!F231/'Google Ads Data'!D231</f>
        <v>2.321056416</v>
      </c>
      <c r="G231" s="5">
        <f>'Google Ads Data'!D231/'Google Ads Data'!E231</f>
        <v>62.57558824</v>
      </c>
      <c r="H231" s="5">
        <f>('Google Ads Data'!D231/'Google Ads Data'!B231)*1000</f>
        <v>29.183973</v>
      </c>
    </row>
    <row r="232" ht="15.75" customHeight="1">
      <c r="A232" s="3">
        <v>45157.0</v>
      </c>
      <c r="B232" s="6">
        <f>'Google Ads Data'!C232/'Google Ads Data'!B232</f>
        <v>0.02228270114</v>
      </c>
      <c r="C232" s="6">
        <f>'Google Ads Data'!E232/'Google Ads Data'!C232</f>
        <v>0.01908396947</v>
      </c>
      <c r="D232" s="5">
        <f>'Google Ads Data'!D232/'Google Ads Data'!C232</f>
        <v>1.561183206</v>
      </c>
      <c r="E232" s="5">
        <f>'Google Ads Data'!F232/'Google Ads Data'!E232</f>
        <v>145.208</v>
      </c>
      <c r="F232" s="7">
        <f>'Google Ads Data'!F232/'Google Ads Data'!D232</f>
        <v>1.775028726</v>
      </c>
      <c r="G232" s="5">
        <f>'Google Ads Data'!D232/'Google Ads Data'!E232</f>
        <v>81.806</v>
      </c>
      <c r="H232" s="5">
        <f>('Google Ads Data'!D232/'Google Ads Data'!B232)*1000</f>
        <v>34.78737881</v>
      </c>
    </row>
    <row r="233" ht="15.75" customHeight="1">
      <c r="A233" s="3">
        <v>45158.0</v>
      </c>
      <c r="B233" s="6">
        <f>'Google Ads Data'!C233/'Google Ads Data'!B233</f>
        <v>0.0203332392</v>
      </c>
      <c r="C233" s="6">
        <f>'Google Ads Data'!E233/'Google Ads Data'!C233</f>
        <v>0.01388888889</v>
      </c>
      <c r="D233" s="5">
        <f>'Google Ads Data'!D233/'Google Ads Data'!C233</f>
        <v>1.635347222</v>
      </c>
      <c r="E233" s="5">
        <f>'Google Ads Data'!F233/'Google Ads Data'!E233</f>
        <v>157.7925</v>
      </c>
      <c r="F233" s="7">
        <f>'Google Ads Data'!F233/'Google Ads Data'!D233</f>
        <v>1.3401206</v>
      </c>
      <c r="G233" s="5">
        <f>'Google Ads Data'!D233/'Google Ads Data'!E233</f>
        <v>117.745</v>
      </c>
      <c r="H233" s="5">
        <f>('Google Ads Data'!D233/'Google Ads Data'!B233)*1000</f>
        <v>33.25190624</v>
      </c>
    </row>
    <row r="234" ht="15.75" customHeight="1">
      <c r="A234" s="3">
        <v>45159.0</v>
      </c>
      <c r="B234" s="6">
        <f>'Google Ads Data'!C234/'Google Ads Data'!B234</f>
        <v>0.01639065817</v>
      </c>
      <c r="C234" s="6">
        <f>'Google Ads Data'!E234/'Google Ads Data'!C234</f>
        <v>0.01554404145</v>
      </c>
      <c r="D234" s="5">
        <f>'Google Ads Data'!D234/'Google Ads Data'!C234</f>
        <v>1.140621762</v>
      </c>
      <c r="E234" s="5">
        <f>'Google Ads Data'!F234/'Google Ads Data'!E234</f>
        <v>234.3066667</v>
      </c>
      <c r="F234" s="7">
        <f>'Google Ads Data'!F234/'Google Ads Data'!D234</f>
        <v>3.193058962</v>
      </c>
      <c r="G234" s="5">
        <f>'Google Ads Data'!D234/'Google Ads Data'!E234</f>
        <v>73.38</v>
      </c>
      <c r="H234" s="5">
        <f>('Google Ads Data'!D234/'Google Ads Data'!B234)*1000</f>
        <v>18.6955414</v>
      </c>
    </row>
    <row r="235" ht="15.75" customHeight="1">
      <c r="A235" s="3">
        <v>45160.0</v>
      </c>
      <c r="B235" s="6">
        <f>'Google Ads Data'!C235/'Google Ads Data'!B235</f>
        <v>0.02589659819</v>
      </c>
      <c r="C235" s="6">
        <f>'Google Ads Data'!E235/'Google Ads Data'!C235</f>
        <v>0.01282965075</v>
      </c>
      <c r="D235" s="5">
        <f>'Google Ads Data'!D235/'Google Ads Data'!C235</f>
        <v>1.690220955</v>
      </c>
      <c r="E235" s="5">
        <f>'Google Ads Data'!F235/'Google Ads Data'!E235</f>
        <v>184.1677778</v>
      </c>
      <c r="F235" s="7">
        <f>'Google Ads Data'!F235/'Google Ads Data'!D235</f>
        <v>1.397928632</v>
      </c>
      <c r="G235" s="5">
        <f>'Google Ads Data'!D235/'Google Ads Data'!E235</f>
        <v>131.7433333</v>
      </c>
      <c r="H235" s="5">
        <f>('Google Ads Data'!D235/'Google Ads Data'!B235)*1000</f>
        <v>43.77097292</v>
      </c>
    </row>
    <row r="236" ht="15.75" customHeight="1">
      <c r="A236" s="3">
        <v>45161.0</v>
      </c>
      <c r="B236" s="6">
        <f>'Google Ads Data'!C236/'Google Ads Data'!B236</f>
        <v>0.02599612368</v>
      </c>
      <c r="C236" s="6">
        <f>'Google Ads Data'!E236/'Google Ads Data'!C236</f>
        <v>0.01473775466</v>
      </c>
      <c r="D236" s="5">
        <f>'Google Ads Data'!D236/'Google Ads Data'!C236</f>
        <v>1.140169051</v>
      </c>
      <c r="E236" s="5">
        <f>'Google Ads Data'!F236/'Google Ads Data'!E236</f>
        <v>179.9864706</v>
      </c>
      <c r="F236" s="7">
        <f>'Google Ads Data'!F236/'Google Ads Data'!D236</f>
        <v>2.326493991</v>
      </c>
      <c r="G236" s="5">
        <f>'Google Ads Data'!D236/'Google Ads Data'!E236</f>
        <v>77.36382353</v>
      </c>
      <c r="H236" s="5">
        <f>('Google Ads Data'!D236/'Google Ads Data'!B236)*1000</f>
        <v>29.63997566</v>
      </c>
    </row>
    <row r="237" ht="15.75" customHeight="1">
      <c r="A237" s="3">
        <v>45162.0</v>
      </c>
      <c r="B237" s="6">
        <f>'Google Ads Data'!C237/'Google Ads Data'!B237</f>
        <v>0.02938103398</v>
      </c>
      <c r="C237" s="6">
        <f>'Google Ads Data'!E237/'Google Ads Data'!C237</f>
        <v>0.0213371266</v>
      </c>
      <c r="D237" s="5">
        <f>'Google Ads Data'!D237/'Google Ads Data'!C237</f>
        <v>1.300825036</v>
      </c>
      <c r="E237" s="5">
        <f>'Google Ads Data'!F237/'Google Ads Data'!E237</f>
        <v>155.426</v>
      </c>
      <c r="F237" s="7">
        <f>'Google Ads Data'!F237/'Google Ads Data'!D237</f>
        <v>2.549416062</v>
      </c>
      <c r="G237" s="5">
        <f>'Google Ads Data'!D237/'Google Ads Data'!E237</f>
        <v>60.96533333</v>
      </c>
      <c r="H237" s="5">
        <f>('Google Ads Data'!D237/'Google Ads Data'!B237)*1000</f>
        <v>38.21958457</v>
      </c>
    </row>
    <row r="238" ht="15.75" customHeight="1">
      <c r="A238" s="3">
        <v>45163.0</v>
      </c>
      <c r="B238" s="6">
        <f>'Google Ads Data'!C238/'Google Ads Data'!B238</f>
        <v>0.01569881451</v>
      </c>
      <c r="C238" s="6">
        <f>'Google Ads Data'!E238/'Google Ads Data'!C238</f>
        <v>0.01703335699</v>
      </c>
      <c r="D238" s="5">
        <f>'Google Ads Data'!D238/'Google Ads Data'!C238</f>
        <v>1.970141945</v>
      </c>
      <c r="E238" s="5">
        <f>'Google Ads Data'!F238/'Google Ads Data'!E238</f>
        <v>187.9104167</v>
      </c>
      <c r="F238" s="7">
        <f>'Google Ads Data'!F238/'Google Ads Data'!D238</f>
        <v>1.624626702</v>
      </c>
      <c r="G238" s="5">
        <f>'Google Ads Data'!D238/'Google Ads Data'!E238</f>
        <v>115.66375</v>
      </c>
      <c r="H238" s="5">
        <f>('Google Ads Data'!D238/'Google Ads Data'!B238)*1000</f>
        <v>30.92889295</v>
      </c>
    </row>
    <row r="239" ht="15.75" customHeight="1">
      <c r="A239" s="3">
        <v>45164.0</v>
      </c>
      <c r="B239" s="6">
        <f>'Google Ads Data'!C239/'Google Ads Data'!B239</f>
        <v>0.01639173241</v>
      </c>
      <c r="C239" s="6">
        <f>'Google Ads Data'!E239/'Google Ads Data'!C239</f>
        <v>0.01988862371</v>
      </c>
      <c r="D239" s="5">
        <f>'Google Ads Data'!D239/'Google Ads Data'!C239</f>
        <v>1.760883055</v>
      </c>
      <c r="E239" s="5">
        <f>'Google Ads Data'!F239/'Google Ads Data'!E239</f>
        <v>152.9284</v>
      </c>
      <c r="F239" s="7">
        <f>'Google Ads Data'!F239/'Google Ads Data'!D239</f>
        <v>1.727278477</v>
      </c>
      <c r="G239" s="5">
        <f>'Google Ads Data'!D239/'Google Ads Data'!E239</f>
        <v>88.5372</v>
      </c>
      <c r="H239" s="5">
        <f>('Google Ads Data'!D239/'Google Ads Data'!B239)*1000</f>
        <v>28.86392384</v>
      </c>
    </row>
    <row r="240" ht="15.75" customHeight="1">
      <c r="A240" s="3">
        <v>45165.0</v>
      </c>
      <c r="B240" s="6">
        <f>'Google Ads Data'!C240/'Google Ads Data'!B240</f>
        <v>0.02479594467</v>
      </c>
      <c r="C240" s="6">
        <f>'Google Ads Data'!E240/'Google Ads Data'!C240</f>
        <v>0.01732501733</v>
      </c>
      <c r="D240" s="5">
        <f>'Google Ads Data'!D240/'Google Ads Data'!C240</f>
        <v>1.7302772</v>
      </c>
      <c r="E240" s="5">
        <f>'Google Ads Data'!F240/'Google Ads Data'!E240</f>
        <v>123.2524</v>
      </c>
      <c r="F240" s="7">
        <f>'Google Ads Data'!F240/'Google Ads Data'!D240</f>
        <v>1.234108595</v>
      </c>
      <c r="G240" s="5">
        <f>'Google Ads Data'!D240/'Google Ads Data'!E240</f>
        <v>99.8716</v>
      </c>
      <c r="H240" s="5">
        <f>('Google Ads Data'!D240/'Google Ads Data'!B240)*1000</f>
        <v>42.90385772</v>
      </c>
    </row>
    <row r="241" ht="15.75" customHeight="1">
      <c r="A241" s="3">
        <v>45166.0</v>
      </c>
      <c r="B241" s="6">
        <f>'Google Ads Data'!C241/'Google Ads Data'!B241</f>
        <v>0.01448844639</v>
      </c>
      <c r="C241" s="6">
        <f>'Google Ads Data'!E241/'Google Ads Data'!C241</f>
        <v>0.01025641026</v>
      </c>
      <c r="D241" s="5">
        <f>'Google Ads Data'!D241/'Google Ads Data'!C241</f>
        <v>1.711358974</v>
      </c>
      <c r="E241" s="5">
        <f>'Google Ads Data'!F241/'Google Ads Data'!E241</f>
        <v>168.3225</v>
      </c>
      <c r="F241" s="7">
        <f>'Google Ads Data'!F241/'Google Ads Data'!D241</f>
        <v>1.008779947</v>
      </c>
      <c r="G241" s="5">
        <f>'Google Ads Data'!D241/'Google Ads Data'!E241</f>
        <v>166.8575</v>
      </c>
      <c r="H241" s="5">
        <f>('Google Ads Data'!D241/'Google Ads Data'!B241)*1000</f>
        <v>24.79493276</v>
      </c>
    </row>
    <row r="242" ht="15.75" customHeight="1">
      <c r="A242" s="3">
        <v>45167.0</v>
      </c>
      <c r="B242" s="6">
        <f>'Google Ads Data'!C242/'Google Ads Data'!B242</f>
        <v>0.01219655904</v>
      </c>
      <c r="C242" s="6">
        <f>'Google Ads Data'!E242/'Google Ads Data'!C242</f>
        <v>0.02093397746</v>
      </c>
      <c r="D242" s="5">
        <f>'Google Ads Data'!D242/'Google Ads Data'!C242</f>
        <v>1.470402576</v>
      </c>
      <c r="E242" s="5">
        <f>'Google Ads Data'!F242/'Google Ads Data'!E242</f>
        <v>175.8023077</v>
      </c>
      <c r="F242" s="7">
        <f>'Google Ads Data'!F242/'Google Ads Data'!D242</f>
        <v>2.502880235</v>
      </c>
      <c r="G242" s="5">
        <f>'Google Ads Data'!D242/'Google Ads Data'!E242</f>
        <v>70.24</v>
      </c>
      <c r="H242" s="5">
        <f>('Google Ads Data'!D242/'Google Ads Data'!B242)*1000</f>
        <v>17.93385183</v>
      </c>
    </row>
    <row r="243" ht="15.75" customHeight="1">
      <c r="A243" s="3">
        <v>45168.0</v>
      </c>
      <c r="B243" s="6">
        <f>'Google Ads Data'!C243/'Google Ads Data'!B243</f>
        <v>0.01967190797</v>
      </c>
      <c r="C243" s="6">
        <f>'Google Ads Data'!E243/'Google Ads Data'!C243</f>
        <v>0.01730103806</v>
      </c>
      <c r="D243" s="5">
        <f>'Google Ads Data'!D243/'Google Ads Data'!C243</f>
        <v>2.00283737</v>
      </c>
      <c r="E243" s="5">
        <f>'Google Ads Data'!F243/'Google Ads Data'!E243</f>
        <v>117.838</v>
      </c>
      <c r="F243" s="7">
        <f>'Google Ads Data'!F243/'Google Ads Data'!D243</f>
        <v>1.01791576</v>
      </c>
      <c r="G243" s="5">
        <f>'Google Ads Data'!D243/'Google Ads Data'!E243</f>
        <v>115.764</v>
      </c>
      <c r="H243" s="5">
        <f>('Google Ads Data'!D243/'Google Ads Data'!B243)*1000</f>
        <v>39.39963243</v>
      </c>
    </row>
    <row r="244" ht="15.75" customHeight="1">
      <c r="A244" s="3">
        <v>45169.0</v>
      </c>
      <c r="B244" s="6">
        <f>'Google Ads Data'!C244/'Google Ads Data'!B244</f>
        <v>0.01909579604</v>
      </c>
      <c r="C244" s="6">
        <f>'Google Ads Data'!E244/'Google Ads Data'!C244</f>
        <v>0.0158490566</v>
      </c>
      <c r="D244" s="5">
        <f>'Google Ads Data'!D244/'Google Ads Data'!C244</f>
        <v>1.070233962</v>
      </c>
      <c r="E244" s="5">
        <f>'Google Ads Data'!F244/'Google Ads Data'!E244</f>
        <v>144.7409524</v>
      </c>
      <c r="F244" s="7">
        <f>'Google Ads Data'!F244/'Google Ads Data'!D244</f>
        <v>2.143463605</v>
      </c>
      <c r="G244" s="5">
        <f>'Google Ads Data'!D244/'Google Ads Data'!E244</f>
        <v>67.52666667</v>
      </c>
      <c r="H244" s="5">
        <f>('Google Ads Data'!D244/'Google Ads Data'!B244)*1000</f>
        <v>20.43696946</v>
      </c>
    </row>
    <row r="245" ht="15.75" customHeight="1">
      <c r="A245" s="3">
        <v>45170.0</v>
      </c>
      <c r="B245" s="6">
        <f>'Google Ads Data'!C245/'Google Ads Data'!B245</f>
        <v>0.0146927721</v>
      </c>
      <c r="C245" s="6">
        <f>'Google Ads Data'!E245/'Google Ads Data'!C245</f>
        <v>0.02304147465</v>
      </c>
      <c r="D245" s="5">
        <f>'Google Ads Data'!D245/'Google Ads Data'!C245</f>
        <v>1.860913978</v>
      </c>
      <c r="E245" s="5">
        <f>'Google Ads Data'!F245/'Google Ads Data'!E245</f>
        <v>105.6703333</v>
      </c>
      <c r="F245" s="7">
        <f>'Google Ads Data'!F245/'Google Ads Data'!D245</f>
        <v>1.308389499</v>
      </c>
      <c r="G245" s="5">
        <f>'Google Ads Data'!D245/'Google Ads Data'!E245</f>
        <v>80.76366667</v>
      </c>
      <c r="H245" s="5">
        <f>('Google Ads Data'!D245/'Google Ads Data'!B245)*1000</f>
        <v>27.34198499</v>
      </c>
    </row>
    <row r="246" ht="15.75" customHeight="1">
      <c r="A246" s="3">
        <v>45171.0</v>
      </c>
      <c r="B246" s="6">
        <f>'Google Ads Data'!C246/'Google Ads Data'!B246</f>
        <v>0.02619727592</v>
      </c>
      <c r="C246" s="6">
        <f>'Google Ads Data'!E246/'Google Ads Data'!C246</f>
        <v>0.01677148847</v>
      </c>
      <c r="D246" s="5">
        <f>'Google Ads Data'!D246/'Google Ads Data'!C246</f>
        <v>1.000097834</v>
      </c>
      <c r="E246" s="5">
        <f>'Google Ads Data'!F246/'Google Ads Data'!E246</f>
        <v>114.2058333</v>
      </c>
      <c r="F246" s="7">
        <f>'Google Ads Data'!F246/'Google Ads Data'!D246</f>
        <v>1.915214444</v>
      </c>
      <c r="G246" s="5">
        <f>'Google Ads Data'!D246/'Google Ads Data'!E246</f>
        <v>59.63083333</v>
      </c>
      <c r="H246" s="5">
        <f>('Google Ads Data'!D246/'Google Ads Data'!B246)*1000</f>
        <v>26.1998389</v>
      </c>
    </row>
    <row r="247" ht="15.75" customHeight="1">
      <c r="A247" s="3">
        <v>45172.0</v>
      </c>
      <c r="B247" s="6">
        <f>'Google Ads Data'!C247/'Google Ads Data'!B247</f>
        <v>0.026299255</v>
      </c>
      <c r="C247" s="6">
        <f>'Google Ads Data'!E247/'Google Ads Data'!C247</f>
        <v>0.01194539249</v>
      </c>
      <c r="D247" s="5">
        <f>'Google Ads Data'!D247/'Google Ads Data'!C247</f>
        <v>1.160017065</v>
      </c>
      <c r="E247" s="5">
        <f>'Google Ads Data'!F247/'Google Ads Data'!E247</f>
        <v>186.4371429</v>
      </c>
      <c r="F247" s="7">
        <f>'Google Ads Data'!F247/'Google Ads Data'!D247</f>
        <v>1.919855245</v>
      </c>
      <c r="G247" s="5">
        <f>'Google Ads Data'!D247/'Google Ads Data'!E247</f>
        <v>97.11</v>
      </c>
      <c r="H247" s="5">
        <f>('Google Ads Data'!D247/'Google Ads Data'!B247)*1000</f>
        <v>30.5075846</v>
      </c>
    </row>
    <row r="248" ht="15.75" customHeight="1">
      <c r="A248" s="3">
        <v>45173.0</v>
      </c>
      <c r="B248" s="6">
        <f>'Google Ads Data'!C248/'Google Ads Data'!B248</f>
        <v>0.02679827741</v>
      </c>
      <c r="C248" s="6">
        <f>'Google Ads Data'!E248/'Google Ads Data'!C248</f>
        <v>0.02028639618</v>
      </c>
      <c r="D248" s="5">
        <f>'Google Ads Data'!D248/'Google Ads Data'!C248</f>
        <v>1.190075577</v>
      </c>
      <c r="E248" s="5">
        <f>'Google Ads Data'!F248/'Google Ads Data'!E248</f>
        <v>163.7162745</v>
      </c>
      <c r="F248" s="7">
        <f>'Google Ads Data'!F248/'Google Ads Data'!D248</f>
        <v>2.790758227</v>
      </c>
      <c r="G248" s="5">
        <f>'Google Ads Data'!D248/'Google Ads Data'!E248</f>
        <v>58.66372549</v>
      </c>
      <c r="H248" s="5">
        <f>('Google Ads Data'!D248/'Google Ads Data'!B248)*1000</f>
        <v>31.89197544</v>
      </c>
    </row>
    <row r="249" ht="15.75" customHeight="1">
      <c r="A249" s="3">
        <v>45174.0</v>
      </c>
      <c r="B249" s="6">
        <f>'Google Ads Data'!C249/'Google Ads Data'!B249</f>
        <v>0.01859719357</v>
      </c>
      <c r="C249" s="6">
        <f>'Google Ads Data'!E249/'Google Ads Data'!C249</f>
        <v>0.01757276222</v>
      </c>
      <c r="D249" s="5">
        <f>'Google Ads Data'!D249/'Google Ads Data'!C249</f>
        <v>1.660247117</v>
      </c>
      <c r="E249" s="5">
        <f>'Google Ads Data'!F249/'Google Ads Data'!E249</f>
        <v>206.0315625</v>
      </c>
      <c r="F249" s="7">
        <f>'Google Ads Data'!F249/'Google Ads Data'!D249</f>
        <v>2.180725761</v>
      </c>
      <c r="G249" s="5">
        <f>'Google Ads Data'!D249/'Google Ads Data'!E249</f>
        <v>94.4784375</v>
      </c>
      <c r="H249" s="5">
        <f>('Google Ads Data'!D249/'Google Ads Data'!B249)*1000</f>
        <v>30.87593701</v>
      </c>
    </row>
    <row r="250" ht="15.75" customHeight="1">
      <c r="A250" s="3">
        <v>45175.0</v>
      </c>
      <c r="B250" s="6">
        <f>'Google Ads Data'!C250/'Google Ads Data'!B250</f>
        <v>0.02497259106</v>
      </c>
      <c r="C250" s="6">
        <f>'Google Ads Data'!E250/'Google Ads Data'!C250</f>
        <v>0.01341463415</v>
      </c>
      <c r="D250" s="5">
        <f>'Google Ads Data'!D250/'Google Ads Data'!C250</f>
        <v>1.922097561</v>
      </c>
      <c r="E250" s="5">
        <f>'Google Ads Data'!F250/'Google Ads Data'!E250</f>
        <v>195.8818182</v>
      </c>
      <c r="F250" s="7">
        <f>'Google Ads Data'!F250/'Google Ads Data'!D250</f>
        <v>1.367091338</v>
      </c>
      <c r="G250" s="5">
        <f>'Google Ads Data'!D250/'Google Ads Data'!E250</f>
        <v>143.2836364</v>
      </c>
      <c r="H250" s="5">
        <f>('Google Ads Data'!D250/'Google Ads Data'!B250)*1000</f>
        <v>47.99975636</v>
      </c>
    </row>
    <row r="251" ht="15.75" customHeight="1">
      <c r="A251" s="3">
        <v>45176.0</v>
      </c>
      <c r="B251" s="6">
        <f>'Google Ads Data'!C251/'Google Ads Data'!B251</f>
        <v>0.01326259947</v>
      </c>
      <c r="C251" s="6">
        <f>'Google Ads Data'!E251/'Google Ads Data'!C251</f>
        <v>0.009756097561</v>
      </c>
      <c r="D251" s="5">
        <f>'Google Ads Data'!D251/'Google Ads Data'!C251</f>
        <v>1.975512195</v>
      </c>
      <c r="E251" s="5">
        <f>'Google Ads Data'!F251/'Google Ads Data'!E251</f>
        <v>197.15</v>
      </c>
      <c r="F251" s="7">
        <f>'Google Ads Data'!F251/'Google Ads Data'!D251</f>
        <v>0.9736283273</v>
      </c>
      <c r="G251" s="5">
        <f>'Google Ads Data'!D251/'Google Ads Data'!E251</f>
        <v>202.49</v>
      </c>
      <c r="H251" s="5">
        <f>('Google Ads Data'!D251/'Google Ads Data'!B251)*1000</f>
        <v>26.20042699</v>
      </c>
    </row>
    <row r="252" ht="15.75" customHeight="1">
      <c r="A252" s="3">
        <v>45177.0</v>
      </c>
      <c r="B252" s="6">
        <f>'Google Ads Data'!C252/'Google Ads Data'!B252</f>
        <v>0.01359856379</v>
      </c>
      <c r="C252" s="6">
        <f>'Google Ads Data'!E252/'Google Ads Data'!C252</f>
        <v>0.02276176024</v>
      </c>
      <c r="D252" s="5">
        <f>'Google Ads Data'!D252/'Google Ads Data'!C252</f>
        <v>1.67016692</v>
      </c>
      <c r="E252" s="5">
        <f>'Google Ads Data'!F252/'Google Ads Data'!E252</f>
        <v>161.6213333</v>
      </c>
      <c r="F252" s="7">
        <f>'Google Ads Data'!F252/'Google Ads Data'!D252</f>
        <v>2.202645733</v>
      </c>
      <c r="G252" s="5">
        <f>'Google Ads Data'!D252/'Google Ads Data'!E252</f>
        <v>73.376</v>
      </c>
      <c r="H252" s="5">
        <f>('Google Ads Data'!D252/'Google Ads Data'!B252)*1000</f>
        <v>22.7118714</v>
      </c>
    </row>
    <row r="253" ht="15.75" customHeight="1">
      <c r="A253" s="3">
        <v>45178.0</v>
      </c>
      <c r="B253" s="6">
        <f>'Google Ads Data'!C253/'Google Ads Data'!B253</f>
        <v>0.02654065251</v>
      </c>
      <c r="C253" s="6">
        <f>'Google Ads Data'!E253/'Google Ads Data'!C253</f>
        <v>0.01219512195</v>
      </c>
      <c r="D253" s="5">
        <f>'Google Ads Data'!D253/'Google Ads Data'!C253</f>
        <v>1.062365854</v>
      </c>
      <c r="E253" s="5">
        <f>'Google Ads Data'!F253/'Google Ads Data'!E253</f>
        <v>174.886</v>
      </c>
      <c r="F253" s="7">
        <f>'Google Ads Data'!F253/'Google Ads Data'!D253</f>
        <v>2.007553321</v>
      </c>
      <c r="G253" s="5">
        <f>'Google Ads Data'!D253/'Google Ads Data'!E253</f>
        <v>87.114</v>
      </c>
      <c r="H253" s="5">
        <f>('Google Ads Data'!D253/'Google Ads Data'!B253)*1000</f>
        <v>28.19588296</v>
      </c>
    </row>
    <row r="254" ht="15.75" customHeight="1">
      <c r="A254" s="3">
        <v>45179.0</v>
      </c>
      <c r="B254" s="6">
        <f>'Google Ads Data'!C254/'Google Ads Data'!B254</f>
        <v>0.01899408099</v>
      </c>
      <c r="C254" s="6">
        <f>'Google Ads Data'!E254/'Google Ads Data'!C254</f>
        <v>0.01648804617</v>
      </c>
      <c r="D254" s="5">
        <f>'Google Ads Data'!D254/'Google Ads Data'!C254</f>
        <v>1.79055235</v>
      </c>
      <c r="E254" s="5">
        <f>'Google Ads Data'!F254/'Google Ads Data'!E254</f>
        <v>147.037</v>
      </c>
      <c r="F254" s="7">
        <f>'Google Ads Data'!F254/'Google Ads Data'!D254</f>
        <v>1.353969263</v>
      </c>
      <c r="G254" s="5">
        <f>'Google Ads Data'!D254/'Google Ads Data'!E254</f>
        <v>108.597</v>
      </c>
      <c r="H254" s="5">
        <f>('Google Ads Data'!D254/'Google Ads Data'!B254)*1000</f>
        <v>34.00989634</v>
      </c>
    </row>
    <row r="255" ht="15.75" customHeight="1">
      <c r="A255" s="3">
        <v>45180.0</v>
      </c>
      <c r="B255" s="6">
        <f>'Google Ads Data'!C255/'Google Ads Data'!B255</f>
        <v>0.009999840767</v>
      </c>
      <c r="C255" s="6">
        <f>'Google Ads Data'!E255/'Google Ads Data'!C255</f>
        <v>0.02388535032</v>
      </c>
      <c r="D255" s="5">
        <f>'Google Ads Data'!D255/'Google Ads Data'!C255</f>
        <v>1.730015924</v>
      </c>
      <c r="E255" s="5">
        <f>'Google Ads Data'!F255/'Google Ads Data'!E255</f>
        <v>193.3013333</v>
      </c>
      <c r="F255" s="7">
        <f>'Google Ads Data'!F255/'Google Ads Data'!D255</f>
        <v>2.668802062</v>
      </c>
      <c r="G255" s="5">
        <f>'Google Ads Data'!D255/'Google Ads Data'!E255</f>
        <v>72.43</v>
      </c>
      <c r="H255" s="5">
        <f>('Google Ads Data'!D255/'Google Ads Data'!B255)*1000</f>
        <v>17.29988376</v>
      </c>
    </row>
    <row r="256" ht="15.75" customHeight="1">
      <c r="A256" s="3">
        <v>45181.0</v>
      </c>
      <c r="B256" s="6">
        <f>'Google Ads Data'!C256/'Google Ads Data'!B256</f>
        <v>0.01449733874</v>
      </c>
      <c r="C256" s="6">
        <f>'Google Ads Data'!E256/'Google Ads Data'!C256</f>
        <v>0.01540436457</v>
      </c>
      <c r="D256" s="5">
        <f>'Google Ads Data'!D256/'Google Ads Data'!C256</f>
        <v>1.410256739</v>
      </c>
      <c r="E256" s="5">
        <f>'Google Ads Data'!F256/'Google Ads Data'!E256</f>
        <v>196.8508333</v>
      </c>
      <c r="F256" s="7">
        <f>'Google Ads Data'!F256/'Google Ads Data'!D256</f>
        <v>2.150219827</v>
      </c>
      <c r="G256" s="5">
        <f>'Google Ads Data'!D256/'Google Ads Data'!E256</f>
        <v>91.54916667</v>
      </c>
      <c r="H256" s="5">
        <f>('Google Ads Data'!D256/'Google Ads Data'!B256)*1000</f>
        <v>20.44496967</v>
      </c>
    </row>
    <row r="257" ht="15.75" customHeight="1">
      <c r="A257" s="3">
        <v>45182.0</v>
      </c>
      <c r="B257" s="6">
        <f>'Google Ads Data'!C257/'Google Ads Data'!B257</f>
        <v>0.01619578909</v>
      </c>
      <c r="C257" s="6">
        <f>'Google Ads Data'!E257/'Google Ads Data'!C257</f>
        <v>0.02287581699</v>
      </c>
      <c r="D257" s="5">
        <f>'Google Ads Data'!D257/'Google Ads Data'!C257</f>
        <v>1.08027451</v>
      </c>
      <c r="E257" s="5">
        <f>'Google Ads Data'!F257/'Google Ads Data'!E257</f>
        <v>161.212</v>
      </c>
      <c r="F257" s="7">
        <f>'Google Ads Data'!F257/'Google Ads Data'!D257</f>
        <v>3.413813966</v>
      </c>
      <c r="G257" s="5">
        <f>'Google Ads Data'!D257/'Google Ads Data'!E257</f>
        <v>47.22342857</v>
      </c>
      <c r="H257" s="5">
        <f>('Google Ads Data'!D257/'Google Ads Data'!B257)*1000</f>
        <v>17.49589813</v>
      </c>
    </row>
    <row r="258" ht="15.75" customHeight="1">
      <c r="A258" s="3">
        <v>45183.0</v>
      </c>
      <c r="B258" s="6">
        <f>'Google Ads Data'!C258/'Google Ads Data'!B258</f>
        <v>0.02109014356</v>
      </c>
      <c r="C258" s="6">
        <f>'Google Ads Data'!E258/'Google Ads Data'!C258</f>
        <v>0.0228502706</v>
      </c>
      <c r="D258" s="5">
        <f>'Google Ads Data'!D258/'Google Ads Data'!C258</f>
        <v>1.220565244</v>
      </c>
      <c r="E258" s="5">
        <f>'Google Ads Data'!F258/'Google Ads Data'!E258</f>
        <v>192.3413158</v>
      </c>
      <c r="F258" s="7">
        <f>'Google Ads Data'!F258/'Google Ads Data'!D258</f>
        <v>3.600832594</v>
      </c>
      <c r="G258" s="5">
        <f>'Google Ads Data'!D258/'Google Ads Data'!E258</f>
        <v>53.41578947</v>
      </c>
      <c r="H258" s="5">
        <f>('Google Ads Data'!D258/'Google Ads Data'!B258)*1000</f>
        <v>25.74189621</v>
      </c>
    </row>
    <row r="259" ht="15.75" customHeight="1">
      <c r="A259" s="3">
        <v>45184.0</v>
      </c>
      <c r="B259" s="6">
        <f>'Google Ads Data'!C259/'Google Ads Data'!B259</f>
        <v>0.01008326471</v>
      </c>
      <c r="C259" s="6">
        <f>'Google Ads Data'!E259/'Google Ads Data'!C259</f>
        <v>0.01451905626</v>
      </c>
      <c r="D259" s="5">
        <f>'Google Ads Data'!D259/'Google Ads Data'!C259</f>
        <v>1.68277677</v>
      </c>
      <c r="E259" s="5">
        <f>'Google Ads Data'!F259/'Google Ads Data'!E259</f>
        <v>141.89</v>
      </c>
      <c r="F259" s="7">
        <f>'Google Ads Data'!F259/'Google Ads Data'!D259</f>
        <v>1.224231835</v>
      </c>
      <c r="G259" s="5">
        <f>'Google Ads Data'!D259/'Google Ads Data'!E259</f>
        <v>115.90125</v>
      </c>
      <c r="H259" s="5">
        <f>('Google Ads Data'!D259/'Google Ads Data'!B259)*1000</f>
        <v>16.96788361</v>
      </c>
    </row>
    <row r="260" ht="15.75" customHeight="1">
      <c r="A260" s="3">
        <v>45185.0</v>
      </c>
      <c r="B260" s="6">
        <f>'Google Ads Data'!C260/'Google Ads Data'!B260</f>
        <v>0.0262842594</v>
      </c>
      <c r="C260" s="6">
        <f>'Google Ads Data'!E260/'Google Ads Data'!C260</f>
        <v>0.01424501425</v>
      </c>
      <c r="D260" s="5">
        <f>'Google Ads Data'!D260/'Google Ads Data'!C260</f>
        <v>1.751047009</v>
      </c>
      <c r="E260" s="5">
        <f>'Google Ads Data'!F260/'Google Ads Data'!E260</f>
        <v>167.3725</v>
      </c>
      <c r="F260" s="7">
        <f>'Google Ads Data'!F260/'Google Ads Data'!D260</f>
        <v>1.361598881</v>
      </c>
      <c r="G260" s="5">
        <f>'Google Ads Data'!D260/'Google Ads Data'!E260</f>
        <v>122.9235</v>
      </c>
      <c r="H260" s="5">
        <f>('Google Ads Data'!D260/'Google Ads Data'!B260)*1000</f>
        <v>46.02497379</v>
      </c>
    </row>
    <row r="261" ht="15.75" customHeight="1">
      <c r="A261" s="3">
        <v>45186.0</v>
      </c>
      <c r="B261" s="6">
        <f>'Google Ads Data'!C261/'Google Ads Data'!B261</f>
        <v>0.01699976348</v>
      </c>
      <c r="C261" s="6">
        <f>'Google Ads Data'!E261/'Google Ads Data'!C261</f>
        <v>0.01913043478</v>
      </c>
      <c r="D261" s="5">
        <f>'Google Ads Data'!D261/'Google Ads Data'!C261</f>
        <v>1.760017391</v>
      </c>
      <c r="E261" s="5">
        <f>'Google Ads Data'!F261/'Google Ads Data'!E261</f>
        <v>126.0209091</v>
      </c>
      <c r="F261" s="7">
        <f>'Google Ads Data'!F261/'Google Ads Data'!D261</f>
        <v>1.369778955</v>
      </c>
      <c r="G261" s="5">
        <f>'Google Ads Data'!D261/'Google Ads Data'!E261</f>
        <v>92.00090909</v>
      </c>
      <c r="H261" s="5">
        <f>('Google Ads Data'!D261/'Google Ads Data'!B261)*1000</f>
        <v>29.91987938</v>
      </c>
    </row>
    <row r="262" ht="15.75" customHeight="1">
      <c r="A262" s="3">
        <v>45187.0</v>
      </c>
      <c r="B262" s="6">
        <f>'Google Ads Data'!C262/'Google Ads Data'!B262</f>
        <v>0.01449033977</v>
      </c>
      <c r="C262" s="6">
        <f>'Google Ads Data'!E262/'Google Ads Data'!C262</f>
        <v>0.01724137931</v>
      </c>
      <c r="D262" s="5">
        <f>'Google Ads Data'!D262/'Google Ads Data'!C262</f>
        <v>1.701091954</v>
      </c>
      <c r="E262" s="5">
        <f>'Google Ads Data'!F262/'Google Ads Data'!E262</f>
        <v>195.2533333</v>
      </c>
      <c r="F262" s="7">
        <f>'Google Ads Data'!F262/'Google Ads Data'!D262</f>
        <v>1.978985777</v>
      </c>
      <c r="G262" s="5">
        <f>'Google Ads Data'!D262/'Google Ads Data'!E262</f>
        <v>98.66333333</v>
      </c>
      <c r="H262" s="5">
        <f>('Google Ads Data'!D262/'Google Ads Data'!B262)*1000</f>
        <v>24.6494004</v>
      </c>
    </row>
    <row r="263" ht="15.75" customHeight="1">
      <c r="A263" s="3">
        <v>45188.0</v>
      </c>
      <c r="B263" s="6">
        <f>'Google Ads Data'!C263/'Google Ads Data'!B263</f>
        <v>0.01044859292</v>
      </c>
      <c r="C263" s="6">
        <f>'Google Ads Data'!E263/'Google Ads Data'!C263</f>
        <v>0.01333333333</v>
      </c>
      <c r="D263" s="5">
        <f>'Google Ads Data'!D263/'Google Ads Data'!C263</f>
        <v>1.778666667</v>
      </c>
      <c r="E263" s="5">
        <f>'Google Ads Data'!F263/'Google Ads Data'!E263</f>
        <v>124.3</v>
      </c>
      <c r="F263" s="7">
        <f>'Google Ads Data'!F263/'Google Ads Data'!D263</f>
        <v>0.9317841079</v>
      </c>
      <c r="G263" s="5">
        <f>'Google Ads Data'!D263/'Google Ads Data'!E263</f>
        <v>133.4</v>
      </c>
      <c r="H263" s="5">
        <f>('Google Ads Data'!D263/'Google Ads Data'!B263)*1000</f>
        <v>18.58456395</v>
      </c>
    </row>
    <row r="264" ht="15.75" customHeight="1">
      <c r="A264" s="3">
        <v>45189.0</v>
      </c>
      <c r="B264" s="6">
        <f>'Google Ads Data'!C264/'Google Ads Data'!B264</f>
        <v>0.01298477943</v>
      </c>
      <c r="C264" s="6">
        <f>'Google Ads Data'!E264/'Google Ads Data'!C264</f>
        <v>0.01986754967</v>
      </c>
      <c r="D264" s="5">
        <f>'Google Ads Data'!D264/'Google Ads Data'!C264</f>
        <v>1.932251656</v>
      </c>
      <c r="E264" s="5">
        <f>'Google Ads Data'!F264/'Google Ads Data'!E264</f>
        <v>142.68</v>
      </c>
      <c r="F264" s="7">
        <f>'Google Ads Data'!F264/'Google Ads Data'!D264</f>
        <v>1.467045961</v>
      </c>
      <c r="G264" s="5">
        <f>'Google Ads Data'!D264/'Google Ads Data'!E264</f>
        <v>97.25666667</v>
      </c>
      <c r="H264" s="5">
        <f>('Google Ads Data'!D264/'Google Ads Data'!B264)*1000</f>
        <v>25.08986155</v>
      </c>
    </row>
    <row r="265" ht="15.75" customHeight="1">
      <c r="A265" s="3">
        <v>45190.0</v>
      </c>
      <c r="B265" s="6">
        <f>'Google Ads Data'!C265/'Google Ads Data'!B265</f>
        <v>0.0152953874</v>
      </c>
      <c r="C265" s="6">
        <f>'Google Ads Data'!E265/'Google Ads Data'!C265</f>
        <v>0.01781895937</v>
      </c>
      <c r="D265" s="5">
        <f>'Google Ads Data'!D265/'Google Ads Data'!C265</f>
        <v>1.330399145</v>
      </c>
      <c r="E265" s="5">
        <f>'Google Ads Data'!F265/'Google Ads Data'!E265</f>
        <v>168.7476</v>
      </c>
      <c r="F265" s="7">
        <f>'Google Ads Data'!F265/'Google Ads Data'!D265</f>
        <v>2.26015376</v>
      </c>
      <c r="G265" s="5">
        <f>'Google Ads Data'!D265/'Google Ads Data'!E265</f>
        <v>74.662</v>
      </c>
      <c r="H265" s="5">
        <f>('Google Ads Data'!D265/'Google Ads Data'!B265)*1000</f>
        <v>20.34897031</v>
      </c>
    </row>
    <row r="266" ht="15.75" customHeight="1">
      <c r="A266" s="3">
        <v>45191.0</v>
      </c>
      <c r="B266" s="6">
        <f>'Google Ads Data'!C266/'Google Ads Data'!B266</f>
        <v>0.01989900505</v>
      </c>
      <c r="C266" s="6">
        <f>'Google Ads Data'!E266/'Google Ads Data'!C266</f>
        <v>0.01947236181</v>
      </c>
      <c r="D266" s="5">
        <f>'Google Ads Data'!D266/'Google Ads Data'!C266</f>
        <v>1.990094221</v>
      </c>
      <c r="E266" s="5">
        <f>'Google Ads Data'!F266/'Google Ads Data'!E266</f>
        <v>191.1729032</v>
      </c>
      <c r="F266" s="7">
        <f>'Google Ads Data'!F266/'Google Ads Data'!D266</f>
        <v>1.87055864</v>
      </c>
      <c r="G266" s="5">
        <f>'Google Ads Data'!D266/'Google Ads Data'!E266</f>
        <v>102.2009677</v>
      </c>
      <c r="H266" s="5">
        <f>('Google Ads Data'!D266/'Google Ads Data'!B266)*1000</f>
        <v>39.60089496</v>
      </c>
    </row>
    <row r="267" ht="15.75" customHeight="1">
      <c r="A267" s="3">
        <v>45192.0</v>
      </c>
      <c r="B267" s="6">
        <f>'Google Ads Data'!C267/'Google Ads Data'!B267</f>
        <v>0.02908063464</v>
      </c>
      <c r="C267" s="6">
        <f>'Google Ads Data'!E267/'Google Ads Data'!C267</f>
        <v>0.01494768311</v>
      </c>
      <c r="D267" s="5">
        <f>'Google Ads Data'!D267/'Google Ads Data'!C267</f>
        <v>1.601061286</v>
      </c>
      <c r="E267" s="5">
        <f>'Google Ads Data'!F267/'Google Ads Data'!E267</f>
        <v>206.403</v>
      </c>
      <c r="F267" s="7">
        <f>'Google Ads Data'!F267/'Google Ads Data'!D267</f>
        <v>1.927000962</v>
      </c>
      <c r="G267" s="5">
        <f>'Google Ads Data'!D267/'Google Ads Data'!E267</f>
        <v>107.111</v>
      </c>
      <c r="H267" s="5">
        <f>('Google Ads Data'!D267/'Google Ads Data'!B267)*1000</f>
        <v>46.55987829</v>
      </c>
    </row>
    <row r="268" ht="15.75" customHeight="1">
      <c r="A268" s="3">
        <v>45193.0</v>
      </c>
      <c r="B268" s="6">
        <f>'Google Ads Data'!C268/'Google Ads Data'!B268</f>
        <v>0.02899669635</v>
      </c>
      <c r="C268" s="6">
        <f>'Google Ads Data'!E268/'Google Ads Data'!C268</f>
        <v>0.02352941176</v>
      </c>
      <c r="D268" s="5">
        <f>'Google Ads Data'!D268/'Google Ads Data'!C268</f>
        <v>1.210136223</v>
      </c>
      <c r="E268" s="5">
        <f>'Google Ads Data'!F268/'Google Ads Data'!E268</f>
        <v>110.1726316</v>
      </c>
      <c r="F268" s="7">
        <f>'Google Ads Data'!F268/'Google Ads Data'!D268</f>
        <v>2.142153226</v>
      </c>
      <c r="G268" s="5">
        <f>'Google Ads Data'!D268/'Google Ads Data'!E268</f>
        <v>51.43078947</v>
      </c>
      <c r="H268" s="5">
        <f>('Google Ads Data'!D268/'Google Ads Data'!B268)*1000</f>
        <v>35.0899526</v>
      </c>
    </row>
    <row r="269" ht="15.75" customHeight="1">
      <c r="A269" s="3">
        <v>45194.0</v>
      </c>
      <c r="B269" s="6">
        <f>'Google Ads Data'!C269/'Google Ads Data'!B269</f>
        <v>0.01288892174</v>
      </c>
      <c r="C269" s="6">
        <f>'Google Ads Data'!E269/'Google Ads Data'!C269</f>
        <v>0.01490825688</v>
      </c>
      <c r="D269" s="5">
        <f>'Google Ads Data'!D269/'Google Ads Data'!C269</f>
        <v>1.831571101</v>
      </c>
      <c r="E269" s="5">
        <f>'Google Ads Data'!F269/'Google Ads Data'!E269</f>
        <v>116.0692308</v>
      </c>
      <c r="F269" s="7">
        <f>'Google Ads Data'!F269/'Google Ads Data'!D269</f>
        <v>0.9447571582</v>
      </c>
      <c r="G269" s="5">
        <f>'Google Ads Data'!D269/'Google Ads Data'!E269</f>
        <v>122.8561538</v>
      </c>
      <c r="H269" s="5">
        <f>('Google Ads Data'!D269/'Google Ads Data'!B269)*1000</f>
        <v>23.60697657</v>
      </c>
    </row>
    <row r="270" ht="15.75" customHeight="1">
      <c r="A270" s="3">
        <v>45195.0</v>
      </c>
      <c r="B270" s="6">
        <f>'Google Ads Data'!C270/'Google Ads Data'!B270</f>
        <v>0.02239043935</v>
      </c>
      <c r="C270" s="6">
        <f>'Google Ads Data'!E270/'Google Ads Data'!C270</f>
        <v>0.02352941176</v>
      </c>
      <c r="D270" s="5">
        <f>'Google Ads Data'!D270/'Google Ads Data'!C270</f>
        <v>1.480631579</v>
      </c>
      <c r="E270" s="5">
        <f>'Google Ads Data'!F270/'Google Ads Data'!E270</f>
        <v>179.5965789</v>
      </c>
      <c r="F270" s="7">
        <f>'Google Ads Data'!F270/'Google Ads Data'!D270</f>
        <v>2.854053579</v>
      </c>
      <c r="G270" s="5">
        <f>'Google Ads Data'!D270/'Google Ads Data'!E270</f>
        <v>62.92684211</v>
      </c>
      <c r="H270" s="5">
        <f>('Google Ads Data'!D270/'Google Ads Data'!B270)*1000</f>
        <v>33.15199157</v>
      </c>
    </row>
    <row r="271" ht="15.75" customHeight="1">
      <c r="A271" s="3">
        <v>45196.0</v>
      </c>
      <c r="B271" s="6">
        <f>'Google Ads Data'!C271/'Google Ads Data'!B271</f>
        <v>0.01628905672</v>
      </c>
      <c r="C271" s="6">
        <f>'Google Ads Data'!E271/'Google Ads Data'!C271</f>
        <v>0.02121212121</v>
      </c>
      <c r="D271" s="5">
        <f>'Google Ads Data'!D271/'Google Ads Data'!C271</f>
        <v>1.310878788</v>
      </c>
      <c r="E271" s="5">
        <f>'Google Ads Data'!F271/'Google Ads Data'!E271</f>
        <v>188.0942857</v>
      </c>
      <c r="F271" s="7">
        <f>'Google Ads Data'!F271/'Google Ads Data'!D271</f>
        <v>3.043667214</v>
      </c>
      <c r="G271" s="5">
        <f>'Google Ads Data'!D271/'Google Ads Data'!E271</f>
        <v>61.79857143</v>
      </c>
      <c r="H271" s="5">
        <f>('Google Ads Data'!D271/'Google Ads Data'!B271)*1000</f>
        <v>21.35297892</v>
      </c>
    </row>
    <row r="272" ht="15.75" customHeight="1">
      <c r="A272" s="3">
        <v>45197.0</v>
      </c>
      <c r="B272" s="6">
        <f>'Google Ads Data'!C272/'Google Ads Data'!B272</f>
        <v>0.01607093378</v>
      </c>
      <c r="C272" s="6">
        <f>'Google Ads Data'!E272/'Google Ads Data'!C272</f>
        <v>0.02155172414</v>
      </c>
      <c r="D272" s="5">
        <f>'Google Ads Data'!D272/'Google Ads Data'!C272</f>
        <v>1.162068966</v>
      </c>
      <c r="E272" s="5">
        <f>'Google Ads Data'!F272/'Google Ads Data'!E272</f>
        <v>126.668</v>
      </c>
      <c r="F272" s="7">
        <f>'Google Ads Data'!F272/'Google Ads Data'!D272</f>
        <v>2.349183976</v>
      </c>
      <c r="G272" s="5">
        <f>'Google Ads Data'!D272/'Google Ads Data'!E272</f>
        <v>53.92</v>
      </c>
      <c r="H272" s="5">
        <f>('Google Ads Data'!D272/'Google Ads Data'!B272)*1000</f>
        <v>18.67553339</v>
      </c>
    </row>
    <row r="273" ht="15.75" customHeight="1">
      <c r="A273" s="3">
        <v>45198.0</v>
      </c>
      <c r="B273" s="6">
        <f>'Google Ads Data'!C273/'Google Ads Data'!B273</f>
        <v>0.02789093178</v>
      </c>
      <c r="C273" s="6">
        <f>'Google Ads Data'!E273/'Google Ads Data'!C273</f>
        <v>0.01315789474</v>
      </c>
      <c r="D273" s="5">
        <f>'Google Ads Data'!D273/'Google Ads Data'!C273</f>
        <v>1.390447368</v>
      </c>
      <c r="E273" s="5">
        <f>'Google Ads Data'!F273/'Google Ads Data'!E273</f>
        <v>126.11</v>
      </c>
      <c r="F273" s="7">
        <f>'Google Ads Data'!F273/'Google Ads Data'!D273</f>
        <v>1.19338721</v>
      </c>
      <c r="G273" s="5">
        <f>'Google Ads Data'!D273/'Google Ads Data'!E273</f>
        <v>105.674</v>
      </c>
      <c r="H273" s="5">
        <f>('Google Ads Data'!D273/'Google Ads Data'!B273)*1000</f>
        <v>38.78087269</v>
      </c>
    </row>
    <row r="274" ht="15.75" customHeight="1">
      <c r="A274" s="3">
        <v>45199.0</v>
      </c>
      <c r="B274" s="6">
        <f>'Google Ads Data'!C274/'Google Ads Data'!B274</f>
        <v>0.02649646796</v>
      </c>
      <c r="C274" s="6">
        <f>'Google Ads Data'!E274/'Google Ads Data'!C274</f>
        <v>0.01683816651</v>
      </c>
      <c r="D274" s="5">
        <f>'Google Ads Data'!D274/'Google Ads Data'!C274</f>
        <v>1.500196445</v>
      </c>
      <c r="E274" s="5">
        <f>'Google Ads Data'!F274/'Google Ads Data'!E274</f>
        <v>111.7255556</v>
      </c>
      <c r="F274" s="7">
        <f>'Google Ads Data'!F274/'Google Ads Data'!D274</f>
        <v>1.254004776</v>
      </c>
      <c r="G274" s="5">
        <f>'Google Ads Data'!D274/'Google Ads Data'!E274</f>
        <v>89.095</v>
      </c>
      <c r="H274" s="5">
        <f>('Google Ads Data'!D274/'Google Ads Data'!B274)*1000</f>
        <v>39.74990705</v>
      </c>
    </row>
    <row r="275" ht="15.75" customHeight="1">
      <c r="A275" s="3">
        <v>45200.0</v>
      </c>
      <c r="B275" s="6">
        <f>'Google Ads Data'!C275/'Google Ads Data'!B275</f>
        <v>0.02589090441</v>
      </c>
      <c r="C275" s="6">
        <f>'Google Ads Data'!E275/'Google Ads Data'!C275</f>
        <v>0.02049689441</v>
      </c>
      <c r="D275" s="5">
        <f>'Google Ads Data'!D275/'Google Ads Data'!C275</f>
        <v>1.590552795</v>
      </c>
      <c r="E275" s="5">
        <f>'Google Ads Data'!F275/'Google Ads Data'!E275</f>
        <v>169.3242424</v>
      </c>
      <c r="F275" s="7">
        <f>'Google Ads Data'!F275/'Google Ads Data'!D275</f>
        <v>2.182021954</v>
      </c>
      <c r="G275" s="5">
        <f>'Google Ads Data'!D275/'Google Ads Data'!E275</f>
        <v>77.59969697</v>
      </c>
      <c r="H275" s="5">
        <f>('Google Ads Data'!D275/'Google Ads Data'!B275)*1000</f>
        <v>41.18085038</v>
      </c>
    </row>
    <row r="276" ht="15.75" customHeight="1">
      <c r="A276" s="3">
        <v>45201.0</v>
      </c>
      <c r="B276" s="6">
        <f>'Google Ads Data'!C276/'Google Ads Data'!B276</f>
        <v>0.02868737755</v>
      </c>
      <c r="C276" s="6">
        <f>'Google Ads Data'!E276/'Google Ads Data'!C276</f>
        <v>0.02172949002</v>
      </c>
      <c r="D276" s="5">
        <f>'Google Ads Data'!D276/'Google Ads Data'!C276</f>
        <v>1.520665188</v>
      </c>
      <c r="E276" s="5">
        <f>'Google Ads Data'!F276/'Google Ads Data'!E276</f>
        <v>104.802449</v>
      </c>
      <c r="F276" s="7">
        <f>'Google Ads Data'!F276/'Google Ads Data'!D276</f>
        <v>1.497570791</v>
      </c>
      <c r="G276" s="5">
        <f>'Google Ads Data'!D276/'Google Ads Data'!E276</f>
        <v>69.98163265</v>
      </c>
      <c r="H276" s="5">
        <f>('Google Ads Data'!D276/'Google Ads Data'!B276)*1000</f>
        <v>43.62389639</v>
      </c>
    </row>
    <row r="277" ht="15.75" customHeight="1">
      <c r="A277" s="3">
        <v>45202.0</v>
      </c>
      <c r="B277" s="6">
        <f>'Google Ads Data'!C277/'Google Ads Data'!B277</f>
        <v>0.0200912345</v>
      </c>
      <c r="C277" s="6">
        <f>'Google Ads Data'!E277/'Google Ads Data'!C277</f>
        <v>0.02118413905</v>
      </c>
      <c r="D277" s="5">
        <f>'Google Ads Data'!D277/'Google Ads Data'!C277</f>
        <v>1.020439978</v>
      </c>
      <c r="E277" s="5">
        <f>'Google Ads Data'!F277/'Google Ads Data'!E277</f>
        <v>176.6715385</v>
      </c>
      <c r="F277" s="7">
        <f>'Google Ads Data'!F277/'Google Ads Data'!D277</f>
        <v>3.667667396</v>
      </c>
      <c r="G277" s="5">
        <f>'Google Ads Data'!D277/'Google Ads Data'!E277</f>
        <v>48.17</v>
      </c>
      <c r="H277" s="5">
        <f>('Google Ads Data'!D277/'Google Ads Data'!B277)*1000</f>
        <v>20.5018989</v>
      </c>
    </row>
    <row r="278" ht="15.75" customHeight="1">
      <c r="A278" s="3">
        <v>45203.0</v>
      </c>
      <c r="B278" s="6">
        <f>'Google Ads Data'!C278/'Google Ads Data'!B278</f>
        <v>0.01838936134</v>
      </c>
      <c r="C278" s="6">
        <f>'Google Ads Data'!E278/'Google Ads Data'!C278</f>
        <v>0.02296710118</v>
      </c>
      <c r="D278" s="5">
        <f>'Google Ads Data'!D278/'Google Ads Data'!C278</f>
        <v>1.440831782</v>
      </c>
      <c r="E278" s="5">
        <f>'Google Ads Data'!F278/'Google Ads Data'!E278</f>
        <v>198.7905405</v>
      </c>
      <c r="F278" s="7">
        <f>'Google Ads Data'!F278/'Google Ads Data'!D278</f>
        <v>3.168754685</v>
      </c>
      <c r="G278" s="5">
        <f>'Google Ads Data'!D278/'Google Ads Data'!E278</f>
        <v>62.73459459</v>
      </c>
      <c r="H278" s="5">
        <f>('Google Ads Data'!D278/'Google Ads Data'!B278)*1000</f>
        <v>26.49597626</v>
      </c>
    </row>
    <row r="279" ht="15.75" customHeight="1">
      <c r="A279" s="3">
        <v>45204.0</v>
      </c>
      <c r="B279" s="6">
        <f>'Google Ads Data'!C279/'Google Ads Data'!B279</f>
        <v>0.0156950218</v>
      </c>
      <c r="C279" s="6">
        <f>'Google Ads Data'!E279/'Google Ads Data'!C279</f>
        <v>0.02067183463</v>
      </c>
      <c r="D279" s="5">
        <f>'Google Ads Data'!D279/'Google Ads Data'!C279</f>
        <v>1.540478036</v>
      </c>
      <c r="E279" s="5">
        <f>'Google Ads Data'!F279/'Google Ads Data'!E279</f>
        <v>134.510625</v>
      </c>
      <c r="F279" s="7">
        <f>'Google Ads Data'!F279/'Google Ads Data'!D279</f>
        <v>1.805012035</v>
      </c>
      <c r="G279" s="5">
        <f>'Google Ads Data'!D279/'Google Ads Data'!E279</f>
        <v>74.520625</v>
      </c>
      <c r="H279" s="5">
        <f>('Google Ads Data'!D279/'Google Ads Data'!B279)*1000</f>
        <v>24.17783636</v>
      </c>
    </row>
    <row r="280" ht="15.75" customHeight="1">
      <c r="A280" s="3">
        <v>45205.0</v>
      </c>
      <c r="B280" s="6">
        <f>'Google Ads Data'!C280/'Google Ads Data'!B280</f>
        <v>0.024</v>
      </c>
      <c r="C280" s="6">
        <f>'Google Ads Data'!E280/'Google Ads Data'!C280</f>
        <v>0.01701469451</v>
      </c>
      <c r="D280" s="5">
        <f>'Google Ads Data'!D280/'Google Ads Data'!C280</f>
        <v>1.9</v>
      </c>
      <c r="E280" s="5">
        <f>'Google Ads Data'!F280/'Google Ads Data'!E280</f>
        <v>191.3054545</v>
      </c>
      <c r="F280" s="7">
        <f>'Google Ads Data'!F280/'Google Ads Data'!D280</f>
        <v>1.71315993</v>
      </c>
      <c r="G280" s="5">
        <f>'Google Ads Data'!D280/'Google Ads Data'!E280</f>
        <v>111.6681818</v>
      </c>
      <c r="H280" s="5">
        <f>('Google Ads Data'!D280/'Google Ads Data'!B280)*1000</f>
        <v>45.6</v>
      </c>
    </row>
    <row r="281" ht="15.75" customHeight="1">
      <c r="A281" s="3">
        <v>45206.0</v>
      </c>
      <c r="B281" s="6">
        <f>'Google Ads Data'!C281/'Google Ads Data'!B281</f>
        <v>0.02157408925</v>
      </c>
      <c r="C281" s="6">
        <f>'Google Ads Data'!E281/'Google Ads Data'!C281</f>
        <v>0.01265822785</v>
      </c>
      <c r="D281" s="5">
        <f>'Google Ads Data'!D281/'Google Ads Data'!C281</f>
        <v>1.161392405</v>
      </c>
      <c r="E281" s="5">
        <f>'Google Ads Data'!F281/'Google Ads Data'!E281</f>
        <v>192.51</v>
      </c>
      <c r="F281" s="7">
        <f>'Google Ads Data'!F281/'Google Ads Data'!D281</f>
        <v>2.098201635</v>
      </c>
      <c r="G281" s="5">
        <f>'Google Ads Data'!D281/'Google Ads Data'!E281</f>
        <v>91.75</v>
      </c>
      <c r="H281" s="5">
        <f>('Google Ads Data'!D281/'Google Ads Data'!B281)*1000</f>
        <v>25.0559834</v>
      </c>
    </row>
    <row r="282" ht="15.75" customHeight="1">
      <c r="A282" s="3">
        <v>45207.0</v>
      </c>
      <c r="B282" s="6">
        <f>'Google Ads Data'!C282/'Google Ads Data'!B282</f>
        <v>0.02279284132</v>
      </c>
      <c r="C282" s="6">
        <f>'Google Ads Data'!E282/'Google Ads Data'!C282</f>
        <v>0.02100840336</v>
      </c>
      <c r="D282" s="5">
        <f>'Google Ads Data'!D282/'Google Ads Data'!C282</f>
        <v>1.850577731</v>
      </c>
      <c r="E282" s="5">
        <f>'Google Ads Data'!F282/'Google Ads Data'!E282</f>
        <v>130.42675</v>
      </c>
      <c r="F282" s="7">
        <f>'Google Ads Data'!F282/'Google Ads Data'!D282</f>
        <v>1.480649922</v>
      </c>
      <c r="G282" s="5">
        <f>'Google Ads Data'!D282/'Google Ads Data'!E282</f>
        <v>88.0875</v>
      </c>
      <c r="H282" s="5">
        <f>('Google Ads Data'!D282/'Google Ads Data'!B282)*1000</f>
        <v>42.17992458</v>
      </c>
    </row>
    <row r="283" ht="15.75" customHeight="1">
      <c r="A283" s="3">
        <v>45208.0</v>
      </c>
      <c r="B283" s="6">
        <f>'Google Ads Data'!C283/'Google Ads Data'!B283</f>
        <v>0.01739546999</v>
      </c>
      <c r="C283" s="6">
        <f>'Google Ads Data'!E283/'Google Ads Data'!C283</f>
        <v>0.01204819277</v>
      </c>
      <c r="D283" s="5">
        <f>'Google Ads Data'!D283/'Google Ads Data'!C283</f>
        <v>1.260327022</v>
      </c>
      <c r="E283" s="5">
        <f>'Google Ads Data'!F283/'Google Ads Data'!E283</f>
        <v>175.3828571</v>
      </c>
      <c r="F283" s="7">
        <f>'Google Ads Data'!F283/'Google Ads Data'!D283</f>
        <v>1.676585865</v>
      </c>
      <c r="G283" s="5">
        <f>'Google Ads Data'!D283/'Google Ads Data'!E283</f>
        <v>104.6071429</v>
      </c>
      <c r="H283" s="5">
        <f>('Google Ads Data'!D283/'Google Ads Data'!B283)*1000</f>
        <v>21.9239809</v>
      </c>
    </row>
    <row r="284" ht="15.75" customHeight="1">
      <c r="A284" s="3">
        <v>45209.0</v>
      </c>
      <c r="B284" s="6">
        <f>'Google Ads Data'!C284/'Google Ads Data'!B284</f>
        <v>0.01709303528</v>
      </c>
      <c r="C284" s="6">
        <f>'Google Ads Data'!E284/'Google Ads Data'!C284</f>
        <v>0.02419354839</v>
      </c>
      <c r="D284" s="5">
        <f>'Google Ads Data'!D284/'Google Ads Data'!C284</f>
        <v>1.190483871</v>
      </c>
      <c r="E284" s="5">
        <f>'Google Ads Data'!F284/'Google Ads Data'!E284</f>
        <v>128.6611111</v>
      </c>
      <c r="F284" s="7">
        <f>'Google Ads Data'!F284/'Google Ads Data'!D284</f>
        <v>2.614708937</v>
      </c>
      <c r="G284" s="5">
        <f>'Google Ads Data'!D284/'Google Ads Data'!E284</f>
        <v>49.20666667</v>
      </c>
      <c r="H284" s="5">
        <f>('Google Ads Data'!D284/'Google Ads Data'!B284)*1000</f>
        <v>20.3489828</v>
      </c>
    </row>
    <row r="285" ht="15.75" customHeight="1">
      <c r="A285" s="3">
        <v>45210.0</v>
      </c>
      <c r="B285" s="6">
        <f>'Google Ads Data'!C285/'Google Ads Data'!B285</f>
        <v>0.01639519441</v>
      </c>
      <c r="C285" s="6">
        <f>'Google Ads Data'!E285/'Google Ads Data'!C285</f>
        <v>0.01675977654</v>
      </c>
      <c r="D285" s="5">
        <f>'Google Ads Data'!D285/'Google Ads Data'!C285</f>
        <v>1.340391061</v>
      </c>
      <c r="E285" s="5">
        <f>'Google Ads Data'!F285/'Google Ads Data'!E285</f>
        <v>139.8222222</v>
      </c>
      <c r="F285" s="7">
        <f>'Google Ads Data'!F285/'Google Ads Data'!D285</f>
        <v>1.748287695</v>
      </c>
      <c r="G285" s="5">
        <f>'Google Ads Data'!D285/'Google Ads Data'!E285</f>
        <v>79.97666667</v>
      </c>
      <c r="H285" s="5">
        <f>('Google Ads Data'!D285/'Google Ads Data'!B285)*1000</f>
        <v>21.97597203</v>
      </c>
    </row>
    <row r="286" ht="15.75" customHeight="1">
      <c r="A286" s="3">
        <v>45211.0</v>
      </c>
      <c r="B286" s="6">
        <f>'Google Ads Data'!C286/'Google Ads Data'!B286</f>
        <v>0.01449198709</v>
      </c>
      <c r="C286" s="6">
        <f>'Google Ads Data'!E286/'Google Ads Data'!C286</f>
        <v>0.01094890511</v>
      </c>
      <c r="D286" s="5">
        <f>'Google Ads Data'!D286/'Google Ads Data'!C286</f>
        <v>1.030547445</v>
      </c>
      <c r="E286" s="5">
        <f>'Google Ads Data'!F286/'Google Ads Data'!E286</f>
        <v>165.6333333</v>
      </c>
      <c r="F286" s="7">
        <f>'Google Ads Data'!F286/'Google Ads Data'!D286</f>
        <v>1.759747849</v>
      </c>
      <c r="G286" s="5">
        <f>'Google Ads Data'!D286/'Google Ads Data'!E286</f>
        <v>94.12333333</v>
      </c>
      <c r="H286" s="5">
        <f>('Google Ads Data'!D286/'Google Ads Data'!B286)*1000</f>
        <v>14.93468028</v>
      </c>
    </row>
    <row r="287" ht="15.75" customHeight="1">
      <c r="A287" s="3">
        <v>45212.0</v>
      </c>
      <c r="B287" s="6">
        <f>'Google Ads Data'!C287/'Google Ads Data'!B287</f>
        <v>0.02839931153</v>
      </c>
      <c r="C287" s="6">
        <f>'Google Ads Data'!E287/'Google Ads Data'!C287</f>
        <v>0.01953748006</v>
      </c>
      <c r="D287" s="5">
        <f>'Google Ads Data'!D287/'Google Ads Data'!C287</f>
        <v>1.080023923</v>
      </c>
      <c r="E287" s="5">
        <f>'Google Ads Data'!F287/'Google Ads Data'!E287</f>
        <v>125.2853061</v>
      </c>
      <c r="F287" s="7">
        <f>'Google Ads Data'!F287/'Google Ads Data'!D287</f>
        <v>2.266393473</v>
      </c>
      <c r="G287" s="5">
        <f>'Google Ads Data'!D287/'Google Ads Data'!E287</f>
        <v>55.27959184</v>
      </c>
      <c r="H287" s="5">
        <f>('Google Ads Data'!D287/'Google Ads Data'!B287)*1000</f>
        <v>30.67193586</v>
      </c>
    </row>
    <row r="288" ht="15.75" customHeight="1">
      <c r="A288" s="3">
        <v>45213.0</v>
      </c>
      <c r="B288" s="6">
        <f>'Google Ads Data'!C288/'Google Ads Data'!B288</f>
        <v>0.02639375983</v>
      </c>
      <c r="C288" s="6">
        <f>'Google Ads Data'!E288/'Google Ads Data'!C288</f>
        <v>0.01832760596</v>
      </c>
      <c r="D288" s="5">
        <f>'Google Ads Data'!D288/'Google Ads Data'!C288</f>
        <v>1.530355097</v>
      </c>
      <c r="E288" s="5">
        <f>'Google Ads Data'!F288/'Google Ads Data'!E288</f>
        <v>146.960625</v>
      </c>
      <c r="F288" s="7">
        <f>'Google Ads Data'!F288/'Google Ads Data'!D288</f>
        <v>1.760007485</v>
      </c>
      <c r="G288" s="5">
        <f>'Google Ads Data'!D288/'Google Ads Data'!E288</f>
        <v>83.5</v>
      </c>
      <c r="H288" s="5">
        <f>('Google Ads Data'!D288/'Google Ads Data'!B288)*1000</f>
        <v>40.39182489</v>
      </c>
    </row>
    <row r="289" ht="15.75" customHeight="1">
      <c r="A289" s="3">
        <v>45214.0</v>
      </c>
      <c r="B289" s="6">
        <f>'Google Ads Data'!C289/'Google Ads Data'!B289</f>
        <v>0.02039054914</v>
      </c>
      <c r="C289" s="6">
        <f>'Google Ads Data'!E289/'Google Ads Data'!C289</f>
        <v>0.02116402116</v>
      </c>
      <c r="D289" s="5">
        <f>'Google Ads Data'!D289/'Google Ads Data'!C289</f>
        <v>1.570723104</v>
      </c>
      <c r="E289" s="5">
        <f>'Google Ads Data'!F289/'Google Ads Data'!E289</f>
        <v>171.975</v>
      </c>
      <c r="F289" s="7">
        <f>'Google Ads Data'!F289/'Google Ads Data'!D289</f>
        <v>2.317201886</v>
      </c>
      <c r="G289" s="5">
        <f>'Google Ads Data'!D289/'Google Ads Data'!E289</f>
        <v>74.21666667</v>
      </c>
      <c r="H289" s="5">
        <f>('Google Ads Data'!D289/'Google Ads Data'!B289)*1000</f>
        <v>32.02790664</v>
      </c>
    </row>
    <row r="290" ht="15.75" customHeight="1">
      <c r="A290" s="3">
        <v>45215.0</v>
      </c>
      <c r="B290" s="6">
        <f>'Google Ads Data'!C290/'Google Ads Data'!B290</f>
        <v>0.01588267847</v>
      </c>
      <c r="C290" s="6">
        <f>'Google Ads Data'!E290/'Google Ads Data'!C290</f>
        <v>0.01742160279</v>
      </c>
      <c r="D290" s="5">
        <f>'Google Ads Data'!D290/'Google Ads Data'!C290</f>
        <v>1.101196283</v>
      </c>
      <c r="E290" s="5">
        <f>'Google Ads Data'!F290/'Google Ads Data'!E290</f>
        <v>165.3713333</v>
      </c>
      <c r="F290" s="7">
        <f>'Google Ads Data'!F290/'Google Ads Data'!D290</f>
        <v>2.616276249</v>
      </c>
      <c r="G290" s="5">
        <f>'Google Ads Data'!D290/'Google Ads Data'!E290</f>
        <v>63.20866667</v>
      </c>
      <c r="H290" s="5">
        <f>('Google Ads Data'!D290/'Google Ads Data'!B290)*1000</f>
        <v>17.4899465</v>
      </c>
    </row>
    <row r="291" ht="15.75" customHeight="1">
      <c r="A291" s="3">
        <v>45216.0</v>
      </c>
      <c r="B291" s="6">
        <f>'Google Ads Data'!C291/'Google Ads Data'!B291</f>
        <v>0.017183112</v>
      </c>
      <c r="C291" s="6">
        <f>'Google Ads Data'!E291/'Google Ads Data'!C291</f>
        <v>0.01523545706</v>
      </c>
      <c r="D291" s="5">
        <f>'Google Ads Data'!D291/'Google Ads Data'!C291</f>
        <v>1.811772853</v>
      </c>
      <c r="E291" s="5">
        <f>'Google Ads Data'!F291/'Google Ads Data'!E291</f>
        <v>112.8218182</v>
      </c>
      <c r="F291" s="7">
        <f>'Google Ads Data'!F291/'Google Ads Data'!D291</f>
        <v>0.9487348062</v>
      </c>
      <c r="G291" s="5">
        <f>'Google Ads Data'!D291/'Google Ads Data'!E291</f>
        <v>118.9181818</v>
      </c>
      <c r="H291" s="5">
        <f>('Google Ads Data'!D291/'Google Ads Data'!B291)*1000</f>
        <v>31.13189585</v>
      </c>
    </row>
    <row r="292" ht="15.75" customHeight="1">
      <c r="A292" s="3">
        <v>45217.0</v>
      </c>
      <c r="B292" s="6">
        <f>'Google Ads Data'!C292/'Google Ads Data'!B292</f>
        <v>0.01326315789</v>
      </c>
      <c r="C292" s="6">
        <f>'Google Ads Data'!E292/'Google Ads Data'!C292</f>
        <v>0.02222222222</v>
      </c>
      <c r="D292" s="5">
        <f>'Google Ads Data'!D292/'Google Ads Data'!C292</f>
        <v>1.403873016</v>
      </c>
      <c r="E292" s="5">
        <f>'Google Ads Data'!F292/'Google Ads Data'!E292</f>
        <v>141.94</v>
      </c>
      <c r="F292" s="7">
        <f>'Google Ads Data'!F292/'Google Ads Data'!D292</f>
        <v>2.246800235</v>
      </c>
      <c r="G292" s="5">
        <f>'Google Ads Data'!D292/'Google Ads Data'!E292</f>
        <v>63.17428571</v>
      </c>
      <c r="H292" s="5">
        <f>('Google Ads Data'!D292/'Google Ads Data'!B292)*1000</f>
        <v>18.61978947</v>
      </c>
    </row>
    <row r="293" ht="15.75" customHeight="1">
      <c r="A293" s="3">
        <v>45218.0</v>
      </c>
      <c r="B293" s="6">
        <f>'Google Ads Data'!C293/'Google Ads Data'!B293</f>
        <v>0.01444198623</v>
      </c>
      <c r="C293" s="6">
        <f>'Google Ads Data'!E293/'Google Ads Data'!C293</f>
        <v>0.01276595745</v>
      </c>
      <c r="D293" s="5">
        <f>'Google Ads Data'!D293/'Google Ads Data'!C293</f>
        <v>1.455787234</v>
      </c>
      <c r="E293" s="5">
        <f>'Google Ads Data'!F293/'Google Ads Data'!E293</f>
        <v>201.2933333</v>
      </c>
      <c r="F293" s="7">
        <f>'Google Ads Data'!F293/'Google Ads Data'!D293</f>
        <v>1.765163252</v>
      </c>
      <c r="G293" s="5">
        <f>'Google Ads Data'!D293/'Google Ads Data'!E293</f>
        <v>114.0366667</v>
      </c>
      <c r="H293" s="5">
        <f>('Google Ads Data'!D293/'Google Ads Data'!B293)*1000</f>
        <v>21.02445919</v>
      </c>
    </row>
    <row r="294" ht="15.75" customHeight="1">
      <c r="A294" s="3">
        <v>45219.0</v>
      </c>
      <c r="B294" s="6">
        <f>'Google Ads Data'!C294/'Google Ads Data'!B294</f>
        <v>0.02199019714</v>
      </c>
      <c r="C294" s="6">
        <f>'Google Ads Data'!E294/'Google Ads Data'!C294</f>
        <v>0.01971522453</v>
      </c>
      <c r="D294" s="5">
        <f>'Google Ads Data'!D294/'Google Ads Data'!C294</f>
        <v>1.110492881</v>
      </c>
      <c r="E294" s="5">
        <f>'Google Ads Data'!F294/'Google Ads Data'!E294</f>
        <v>143.1005556</v>
      </c>
      <c r="F294" s="7">
        <f>'Google Ads Data'!F294/'Google Ads Data'!D294</f>
        <v>2.540547205</v>
      </c>
      <c r="G294" s="5">
        <f>'Google Ads Data'!D294/'Google Ads Data'!E294</f>
        <v>56.32666667</v>
      </c>
      <c r="H294" s="5">
        <f>('Google Ads Data'!D294/'Google Ads Data'!B294)*1000</f>
        <v>24.41995737</v>
      </c>
    </row>
    <row r="295" ht="15.75" customHeight="1">
      <c r="A295" s="3">
        <v>45220.0</v>
      </c>
      <c r="B295" s="6">
        <f>'Google Ads Data'!C295/'Google Ads Data'!B295</f>
        <v>0.0231926306</v>
      </c>
      <c r="C295" s="6">
        <f>'Google Ads Data'!E295/'Google Ads Data'!C295</f>
        <v>0.01860231272</v>
      </c>
      <c r="D295" s="5">
        <f>'Google Ads Data'!D295/'Google Ads Data'!C295</f>
        <v>1.440457516</v>
      </c>
      <c r="E295" s="5">
        <f>'Google Ads Data'!F295/'Google Ads Data'!E295</f>
        <v>101.5627027</v>
      </c>
      <c r="F295" s="7">
        <f>'Google Ads Data'!F295/'Google Ads Data'!D295</f>
        <v>1.311597971</v>
      </c>
      <c r="G295" s="5">
        <f>'Google Ads Data'!D295/'Google Ads Data'!E295</f>
        <v>77.43432432</v>
      </c>
      <c r="H295" s="5">
        <f>('Google Ads Data'!D295/'Google Ads Data'!B295)*1000</f>
        <v>33.40799907</v>
      </c>
    </row>
    <row r="296" ht="15.75" customHeight="1">
      <c r="A296" s="3">
        <v>45221.0</v>
      </c>
      <c r="B296" s="6">
        <f>'Google Ads Data'!C296/'Google Ads Data'!B296</f>
        <v>0.01559592679</v>
      </c>
      <c r="C296" s="6">
        <f>'Google Ads Data'!E296/'Google Ads Data'!C296</f>
        <v>0.01518438178</v>
      </c>
      <c r="D296" s="5">
        <f>'Google Ads Data'!D296/'Google Ads Data'!C296</f>
        <v>1.360347072</v>
      </c>
      <c r="E296" s="5">
        <f>'Google Ads Data'!F296/'Google Ads Data'!E296</f>
        <v>114.7992857</v>
      </c>
      <c r="F296" s="7">
        <f>'Google Ads Data'!F296/'Google Ads Data'!D296</f>
        <v>1.281405473</v>
      </c>
      <c r="G296" s="5">
        <f>'Google Ads Data'!D296/'Google Ads Data'!E296</f>
        <v>89.58857143</v>
      </c>
      <c r="H296" s="5">
        <f>('Google Ads Data'!D296/'Google Ads Data'!B296)*1000</f>
        <v>21.21587334</v>
      </c>
    </row>
    <row r="297" ht="15.75" customHeight="1">
      <c r="A297" s="3">
        <v>45222.0</v>
      </c>
      <c r="B297" s="6">
        <f>'Google Ads Data'!C297/'Google Ads Data'!B297</f>
        <v>0.0145932693</v>
      </c>
      <c r="C297" s="6">
        <f>'Google Ads Data'!E297/'Google Ads Data'!C297</f>
        <v>0.02071346375</v>
      </c>
      <c r="D297" s="5">
        <f>'Google Ads Data'!D297/'Google Ads Data'!C297</f>
        <v>1.000460299</v>
      </c>
      <c r="E297" s="5">
        <f>'Google Ads Data'!F297/'Google Ads Data'!E297</f>
        <v>185.7427778</v>
      </c>
      <c r="F297" s="7">
        <f>'Google Ads Data'!F297/'Google Ads Data'!D297</f>
        <v>3.845606165</v>
      </c>
      <c r="G297" s="5">
        <f>'Google Ads Data'!D297/'Google Ads Data'!E297</f>
        <v>48.3</v>
      </c>
      <c r="H297" s="5">
        <f>('Google Ads Data'!D297/'Google Ads Data'!B297)*1000</f>
        <v>14.59998657</v>
      </c>
    </row>
    <row r="298" ht="15.75" customHeight="1">
      <c r="A298" s="3">
        <v>45223.0</v>
      </c>
      <c r="B298" s="6">
        <f>'Google Ads Data'!C298/'Google Ads Data'!B298</f>
        <v>0.02935637532</v>
      </c>
      <c r="C298" s="6">
        <f>'Google Ads Data'!E298/'Google Ads Data'!C298</f>
        <v>0.02075471698</v>
      </c>
      <c r="D298" s="5">
        <f>'Google Ads Data'!D298/'Google Ads Data'!C298</f>
        <v>1.161716981</v>
      </c>
      <c r="E298" s="5">
        <f>'Google Ads Data'!F298/'Google Ads Data'!E298</f>
        <v>136.5381818</v>
      </c>
      <c r="F298" s="7">
        <f>'Google Ads Data'!F298/'Google Ads Data'!D298</f>
        <v>2.439330204</v>
      </c>
      <c r="G298" s="5">
        <f>'Google Ads Data'!D298/'Google Ads Data'!E298</f>
        <v>55.97363636</v>
      </c>
      <c r="H298" s="5">
        <f>('Google Ads Data'!D298/'Google Ads Data'!B298)*1000</f>
        <v>34.10379971</v>
      </c>
    </row>
    <row r="299" ht="15.75" customHeight="1">
      <c r="A299" s="3">
        <v>45224.0</v>
      </c>
      <c r="B299" s="6">
        <f>'Google Ads Data'!C299/'Google Ads Data'!B299</f>
        <v>0.01499215168</v>
      </c>
      <c r="C299" s="6">
        <f>'Google Ads Data'!E299/'Google Ads Data'!C299</f>
        <v>0.02225886232</v>
      </c>
      <c r="D299" s="5">
        <f>'Google Ads Data'!D299/'Google Ads Data'!C299</f>
        <v>1.480766694</v>
      </c>
      <c r="E299" s="5">
        <f>'Google Ads Data'!F299/'Google Ads Data'!E299</f>
        <v>113.2681481</v>
      </c>
      <c r="F299" s="7">
        <f>'Google Ads Data'!F299/'Google Ads Data'!D299</f>
        <v>1.702645073</v>
      </c>
      <c r="G299" s="5">
        <f>'Google Ads Data'!D299/'Google Ads Data'!E299</f>
        <v>66.52481481</v>
      </c>
      <c r="H299" s="5">
        <f>('Google Ads Data'!D299/'Google Ads Data'!B299)*1000</f>
        <v>22.19987888</v>
      </c>
    </row>
    <row r="300" ht="15.75" customHeight="1">
      <c r="A300" s="3">
        <v>45225.0</v>
      </c>
      <c r="B300" s="6">
        <f>'Google Ads Data'!C300/'Google Ads Data'!B300</f>
        <v>0.02454991817</v>
      </c>
      <c r="C300" s="6">
        <f>'Google Ads Data'!E300/'Google Ads Data'!C300</f>
        <v>0.01720430108</v>
      </c>
      <c r="D300" s="5">
        <f>'Google Ads Data'!D300/'Google Ads Data'!C300</f>
        <v>1.002021505</v>
      </c>
      <c r="E300" s="5">
        <f>'Google Ads Data'!F300/'Google Ads Data'!E300</f>
        <v>179.71</v>
      </c>
      <c r="F300" s="7">
        <f>'Google Ads Data'!F300/'Google Ads Data'!D300</f>
        <v>3.085547495</v>
      </c>
      <c r="G300" s="5">
        <f>'Google Ads Data'!D300/'Google Ads Data'!E300</f>
        <v>58.2425</v>
      </c>
      <c r="H300" s="5">
        <f>('Google Ads Data'!D300/'Google Ads Data'!B300)*1000</f>
        <v>24.59954596</v>
      </c>
    </row>
    <row r="301" ht="15.75" customHeight="1">
      <c r="A301" s="3">
        <v>45226.0</v>
      </c>
      <c r="B301" s="6">
        <f>'Google Ads Data'!C301/'Google Ads Data'!B301</f>
        <v>0.01769457116</v>
      </c>
      <c r="C301" s="6">
        <f>'Google Ads Data'!E301/'Google Ads Data'!C301</f>
        <v>0.01674107143</v>
      </c>
      <c r="D301" s="5">
        <f>'Google Ads Data'!D301/'Google Ads Data'!C301</f>
        <v>1.0203125</v>
      </c>
      <c r="E301" s="5">
        <f>'Google Ads Data'!F301/'Google Ads Data'!E301</f>
        <v>177.7973333</v>
      </c>
      <c r="F301" s="7">
        <f>'Google Ads Data'!F301/'Google Ads Data'!D301</f>
        <v>2.917260993</v>
      </c>
      <c r="G301" s="5">
        <f>'Google Ads Data'!D301/'Google Ads Data'!E301</f>
        <v>60.94666667</v>
      </c>
      <c r="H301" s="5">
        <f>('Google Ads Data'!D301/'Google Ads Data'!B301)*1000</f>
        <v>18.05399214</v>
      </c>
    </row>
    <row r="302" ht="15.75" customHeight="1">
      <c r="A302" s="3">
        <v>45227.0</v>
      </c>
      <c r="B302" s="6">
        <f>'Google Ads Data'!C302/'Google Ads Data'!B302</f>
        <v>0.01769277605</v>
      </c>
      <c r="C302" s="6">
        <f>'Google Ads Data'!E302/'Google Ads Data'!C302</f>
        <v>0.02125506073</v>
      </c>
      <c r="D302" s="5">
        <f>'Google Ads Data'!D302/'Google Ads Data'!C302</f>
        <v>1.19048583</v>
      </c>
      <c r="E302" s="5">
        <f>'Google Ads Data'!F302/'Google Ads Data'!E302</f>
        <v>146.7261905</v>
      </c>
      <c r="F302" s="7">
        <f>'Google Ads Data'!F302/'Google Ads Data'!D302</f>
        <v>2.619665023</v>
      </c>
      <c r="G302" s="5">
        <f>'Google Ads Data'!D302/'Google Ads Data'!E302</f>
        <v>56.00952381</v>
      </c>
      <c r="H302" s="5">
        <f>('Google Ads Data'!D302/'Google Ads Data'!B302)*1000</f>
        <v>21.06299918</v>
      </c>
    </row>
    <row r="303" ht="15.75" customHeight="1">
      <c r="A303" s="3">
        <v>45228.0</v>
      </c>
      <c r="B303" s="6">
        <f>'Google Ads Data'!C303/'Google Ads Data'!B303</f>
        <v>0.01899532235</v>
      </c>
      <c r="C303" s="6">
        <f>'Google Ads Data'!E303/'Google Ads Data'!C303</f>
        <v>0.01659528908</v>
      </c>
      <c r="D303" s="5">
        <f>'Google Ads Data'!D303/'Google Ads Data'!C303</f>
        <v>1.660406852</v>
      </c>
      <c r="E303" s="5">
        <f>'Google Ads Data'!F303/'Google Ads Data'!E303</f>
        <v>136.0722581</v>
      </c>
      <c r="F303" s="7">
        <f>'Google Ads Data'!F303/'Google Ads Data'!D303</f>
        <v>1.360003095</v>
      </c>
      <c r="G303" s="5">
        <f>'Google Ads Data'!D303/'Google Ads Data'!E303</f>
        <v>100.0529032</v>
      </c>
      <c r="H303" s="5">
        <f>('Google Ads Data'!D303/'Google Ads Data'!B303)*1000</f>
        <v>31.53996339</v>
      </c>
    </row>
    <row r="304" ht="15.75" customHeight="1">
      <c r="A304" s="3">
        <v>45229.0</v>
      </c>
      <c r="B304" s="6">
        <f>'Google Ads Data'!C304/'Google Ads Data'!B304</f>
        <v>0.01849538001</v>
      </c>
      <c r="C304" s="6">
        <f>'Google Ads Data'!E304/'Google Ads Data'!C304</f>
        <v>0.01834862385</v>
      </c>
      <c r="D304" s="5">
        <f>'Google Ads Data'!D304/'Google Ads Data'!C304</f>
        <v>1.25030859</v>
      </c>
      <c r="E304" s="5">
        <f>'Google Ads Data'!F304/'Google Ads Data'!E304</f>
        <v>190.6231818</v>
      </c>
      <c r="F304" s="7">
        <f>'Google Ads Data'!F304/'Google Ads Data'!D304</f>
        <v>2.797447836</v>
      </c>
      <c r="G304" s="5">
        <f>'Google Ads Data'!D304/'Google Ads Data'!E304</f>
        <v>68.14181818</v>
      </c>
      <c r="H304" s="5">
        <f>('Google Ads Data'!D304/'Google Ads Data'!B304)*1000</f>
        <v>23.12493251</v>
      </c>
    </row>
    <row r="305" ht="15.75" customHeight="1">
      <c r="A305" s="3">
        <v>45230.0</v>
      </c>
      <c r="B305" s="6">
        <f>'Google Ads Data'!C305/'Google Ads Data'!B305</f>
        <v>0.0294809834</v>
      </c>
      <c r="C305" s="6">
        <f>'Google Ads Data'!E305/'Google Ads Data'!C305</f>
        <v>0.02138275125</v>
      </c>
      <c r="D305" s="5">
        <f>'Google Ads Data'!D305/'Google Ads Data'!C305</f>
        <v>1.320848182</v>
      </c>
      <c r="E305" s="5">
        <f>'Google Ads Data'!F305/'Google Ads Data'!E305</f>
        <v>130.9983333</v>
      </c>
      <c r="F305" s="7">
        <f>'Google Ads Data'!F305/'Google Ads Data'!D305</f>
        <v>2.120686399</v>
      </c>
      <c r="G305" s="5">
        <f>'Google Ads Data'!D305/'Google Ads Data'!E305</f>
        <v>61.77166667</v>
      </c>
      <c r="H305" s="5">
        <f>('Google Ads Data'!D305/'Google Ads Data'!B305)*1000</f>
        <v>38.93990334</v>
      </c>
    </row>
    <row r="306" ht="15.75" customHeight="1">
      <c r="A306" s="3">
        <v>45231.0</v>
      </c>
      <c r="B306" s="6">
        <f>'Google Ads Data'!C306/'Google Ads Data'!B306</f>
        <v>0.0266557069</v>
      </c>
      <c r="C306" s="6">
        <f>'Google Ads Data'!E306/'Google Ads Data'!C306</f>
        <v>0.01762114537</v>
      </c>
      <c r="D306" s="5">
        <f>'Google Ads Data'!D306/'Google Ads Data'!C306</f>
        <v>1.602643172</v>
      </c>
      <c r="E306" s="5">
        <f>'Google Ads Data'!F306/'Google Ads Data'!E306</f>
        <v>180.105</v>
      </c>
      <c r="F306" s="7">
        <f>'Google Ads Data'!F306/'Google Ads Data'!D306</f>
        <v>1.980263881</v>
      </c>
      <c r="G306" s="5">
        <f>'Google Ads Data'!D306/'Google Ads Data'!E306</f>
        <v>90.95</v>
      </c>
      <c r="H306" s="5">
        <f>('Google Ads Data'!D306/'Google Ads Data'!B306)*1000</f>
        <v>42.71958666</v>
      </c>
    </row>
    <row r="307" ht="15.75" customHeight="1">
      <c r="A307" s="3">
        <v>45232.0</v>
      </c>
      <c r="B307" s="6">
        <f>'Google Ads Data'!C307/'Google Ads Data'!B307</f>
        <v>0.01909053</v>
      </c>
      <c r="C307" s="6">
        <f>'Google Ads Data'!E307/'Google Ads Data'!C307</f>
        <v>0.01385189132</v>
      </c>
      <c r="D307" s="5">
        <f>'Google Ads Data'!D307/'Google Ads Data'!C307</f>
        <v>1.210596697</v>
      </c>
      <c r="E307" s="5">
        <f>'Google Ads Data'!F307/'Google Ads Data'!E307</f>
        <v>179.2411538</v>
      </c>
      <c r="F307" s="7">
        <f>'Google Ads Data'!F307/'Google Ads Data'!D307</f>
        <v>2.050913396</v>
      </c>
      <c r="G307" s="5">
        <f>'Google Ads Data'!D307/'Google Ads Data'!E307</f>
        <v>87.39576923</v>
      </c>
      <c r="H307" s="5">
        <f>('Google Ads Data'!D307/'Google Ads Data'!B307)*1000</f>
        <v>23.11093256</v>
      </c>
    </row>
    <row r="308" ht="15.75" customHeight="1">
      <c r="A308" s="3">
        <v>45233.0</v>
      </c>
      <c r="B308" s="6">
        <f>'Google Ads Data'!C308/'Google Ads Data'!B308</f>
        <v>0.01672721768</v>
      </c>
      <c r="C308" s="6">
        <f>'Google Ads Data'!E308/'Google Ads Data'!C308</f>
        <v>0.01809954751</v>
      </c>
      <c r="D308" s="5">
        <f>'Google Ads Data'!D308/'Google Ads Data'!C308</f>
        <v>1.677239819</v>
      </c>
      <c r="E308" s="5">
        <f>'Google Ads Data'!F308/'Google Ads Data'!E308</f>
        <v>192.275</v>
      </c>
      <c r="F308" s="7">
        <f>'Google Ads Data'!F308/'Google Ads Data'!D308</f>
        <v>2.074891413</v>
      </c>
      <c r="G308" s="5">
        <f>'Google Ads Data'!D308/'Google Ads Data'!E308</f>
        <v>92.6675</v>
      </c>
      <c r="H308" s="5">
        <f>('Google Ads Data'!D308/'Google Ads Data'!B308)*1000</f>
        <v>28.05555556</v>
      </c>
    </row>
    <row r="309" ht="15.75" customHeight="1">
      <c r="A309" s="3">
        <v>45234.0</v>
      </c>
      <c r="B309" s="6">
        <f>'Google Ads Data'!C309/'Google Ads Data'!B309</f>
        <v>0.01817176266</v>
      </c>
      <c r="C309" s="6">
        <f>'Google Ads Data'!E309/'Google Ads Data'!C309</f>
        <v>0.01739130435</v>
      </c>
      <c r="D309" s="5">
        <f>'Google Ads Data'!D309/'Google Ads Data'!C309</f>
        <v>1.983043478</v>
      </c>
      <c r="E309" s="5">
        <f>'Google Ads Data'!F309/'Google Ads Data'!E309</f>
        <v>138.63</v>
      </c>
      <c r="F309" s="7">
        <f>'Google Ads Data'!F309/'Google Ads Data'!D309</f>
        <v>1.215786012</v>
      </c>
      <c r="G309" s="5">
        <f>'Google Ads Data'!D309/'Google Ads Data'!E309</f>
        <v>114.025</v>
      </c>
      <c r="H309" s="5">
        <f>('Google Ads Data'!D309/'Google Ads Data'!B309)*1000</f>
        <v>36.03539543</v>
      </c>
    </row>
    <row r="310" ht="15.75" customHeight="1">
      <c r="A310" s="3">
        <v>45235.0</v>
      </c>
      <c r="B310" s="6">
        <f>'Google Ads Data'!C310/'Google Ads Data'!B310</f>
        <v>0.02477885002</v>
      </c>
      <c r="C310" s="6">
        <f>'Google Ads Data'!E310/'Google Ads Data'!C310</f>
        <v>0.02231237323</v>
      </c>
      <c r="D310" s="5">
        <f>'Google Ads Data'!D310/'Google Ads Data'!C310</f>
        <v>1.401176471</v>
      </c>
      <c r="E310" s="5">
        <f>'Google Ads Data'!F310/'Google Ads Data'!E310</f>
        <v>148.0445455</v>
      </c>
      <c r="F310" s="7">
        <f>'Google Ads Data'!F310/'Google Ads Data'!D310</f>
        <v>2.357465474</v>
      </c>
      <c r="G310" s="5">
        <f>'Google Ads Data'!D310/'Google Ads Data'!E310</f>
        <v>62.79818182</v>
      </c>
      <c r="H310" s="5">
        <f>('Google Ads Data'!D310/'Google Ads Data'!B310)*1000</f>
        <v>34.71954162</v>
      </c>
    </row>
    <row r="311" ht="15.75" customHeight="1">
      <c r="A311" s="3">
        <v>45236.0</v>
      </c>
      <c r="B311" s="6">
        <f>'Google Ads Data'!C311/'Google Ads Data'!B311</f>
        <v>0.02949585815</v>
      </c>
      <c r="C311" s="6">
        <f>'Google Ads Data'!E311/'Google Ads Data'!C311</f>
        <v>0.02260536398</v>
      </c>
      <c r="D311" s="5">
        <f>'Google Ads Data'!D311/'Google Ads Data'!C311</f>
        <v>1.040145594</v>
      </c>
      <c r="E311" s="5">
        <f>'Google Ads Data'!F311/'Google Ads Data'!E311</f>
        <v>188.8135593</v>
      </c>
      <c r="F311" s="7">
        <f>'Google Ads Data'!F311/'Google Ads Data'!D311</f>
        <v>4.103463264</v>
      </c>
      <c r="G311" s="5">
        <f>'Google Ads Data'!D311/'Google Ads Data'!E311</f>
        <v>46.01322034</v>
      </c>
      <c r="H311" s="5">
        <f>('Google Ads Data'!D311/'Google Ads Data'!B311)*1000</f>
        <v>30.67998689</v>
      </c>
    </row>
    <row r="312" ht="15.75" customHeight="1">
      <c r="A312" s="3">
        <v>45237.0</v>
      </c>
      <c r="B312" s="6">
        <f>'Google Ads Data'!C312/'Google Ads Data'!B312</f>
        <v>0.01947687472</v>
      </c>
      <c r="C312" s="6">
        <f>'Google Ads Data'!E312/'Google Ads Data'!C312</f>
        <v>0.01729106628</v>
      </c>
      <c r="D312" s="5">
        <f>'Google Ads Data'!D312/'Google Ads Data'!C312</f>
        <v>1.73204611</v>
      </c>
      <c r="E312" s="5">
        <f>'Google Ads Data'!F312/'Google Ads Data'!E312</f>
        <v>136.5325</v>
      </c>
      <c r="F312" s="7">
        <f>'Google Ads Data'!F312/'Google Ads Data'!D312</f>
        <v>1.363007887</v>
      </c>
      <c r="G312" s="5">
        <f>'Google Ads Data'!D312/'Google Ads Data'!E312</f>
        <v>100.17</v>
      </c>
      <c r="H312" s="5">
        <f>('Google Ads Data'!D312/'Google Ads Data'!B312)*1000</f>
        <v>33.73484508</v>
      </c>
    </row>
    <row r="313" ht="15.75" customHeight="1">
      <c r="A313" s="3">
        <v>45238.0</v>
      </c>
      <c r="B313" s="6">
        <f>'Google Ads Data'!C313/'Google Ads Data'!B313</f>
        <v>0.02309058615</v>
      </c>
      <c r="C313" s="6">
        <f>'Google Ads Data'!E313/'Google Ads Data'!C313</f>
        <v>0.02395209581</v>
      </c>
      <c r="D313" s="5">
        <f>'Google Ads Data'!D313/'Google Ads Data'!C313</f>
        <v>1.150465223</v>
      </c>
      <c r="E313" s="5">
        <f>'Google Ads Data'!F313/'Google Ads Data'!E313</f>
        <v>173.1326923</v>
      </c>
      <c r="F313" s="7">
        <f>'Google Ads Data'!F313/'Google Ads Data'!D313</f>
        <v>3.604533844</v>
      </c>
      <c r="G313" s="5">
        <f>'Google Ads Data'!D313/'Google Ads Data'!E313</f>
        <v>48.03192308</v>
      </c>
      <c r="H313" s="5">
        <f>('Google Ads Data'!D313/'Google Ads Data'!B313)*1000</f>
        <v>26.56491635</v>
      </c>
    </row>
    <row r="314" ht="15.75" customHeight="1">
      <c r="A314" s="3">
        <v>45239.0</v>
      </c>
      <c r="B314" s="6">
        <f>'Google Ads Data'!C314/'Google Ads Data'!B314</f>
        <v>0.02379497031</v>
      </c>
      <c r="C314" s="6">
        <f>'Google Ads Data'!E314/'Google Ads Data'!C314</f>
        <v>0.02385321101</v>
      </c>
      <c r="D314" s="5">
        <f>'Google Ads Data'!D314/'Google Ads Data'!C314</f>
        <v>1.500311927</v>
      </c>
      <c r="E314" s="5">
        <f>'Google Ads Data'!F314/'Google Ads Data'!E314</f>
        <v>167.3628205</v>
      </c>
      <c r="F314" s="7">
        <f>'Google Ads Data'!F314/'Google Ads Data'!D314</f>
        <v>2.660873784</v>
      </c>
      <c r="G314" s="5">
        <f>'Google Ads Data'!D314/'Google Ads Data'!E314</f>
        <v>62.89769231</v>
      </c>
      <c r="H314" s="5">
        <f>('Google Ads Data'!D314/'Google Ads Data'!B314)*1000</f>
        <v>35.69987775</v>
      </c>
    </row>
    <row r="315" ht="15.75" customHeight="1">
      <c r="A315" s="3">
        <v>45240.0</v>
      </c>
      <c r="B315" s="6">
        <f>'Google Ads Data'!C315/'Google Ads Data'!B315</f>
        <v>0.02439143135</v>
      </c>
      <c r="C315" s="6">
        <f>'Google Ads Data'!E315/'Google Ads Data'!C315</f>
        <v>0.01996007984</v>
      </c>
      <c r="D315" s="5">
        <f>'Google Ads Data'!D315/'Google Ads Data'!C315</f>
        <v>1.070359281</v>
      </c>
      <c r="E315" s="5">
        <f>'Google Ads Data'!F315/'Google Ads Data'!E315</f>
        <v>157.119</v>
      </c>
      <c r="F315" s="7">
        <f>'Google Ads Data'!F315/'Google Ads Data'!D315</f>
        <v>2.929958042</v>
      </c>
      <c r="G315" s="5">
        <f>'Google Ads Data'!D315/'Google Ads Data'!E315</f>
        <v>53.625</v>
      </c>
      <c r="H315" s="5">
        <f>('Google Ads Data'!D315/'Google Ads Data'!B315)*1000</f>
        <v>26.10759494</v>
      </c>
    </row>
    <row r="316" ht="15.75" customHeight="1">
      <c r="A316" s="3">
        <v>45241.0</v>
      </c>
      <c r="B316" s="6">
        <f>'Google Ads Data'!C316/'Google Ads Data'!B316</f>
        <v>0.01178194938</v>
      </c>
      <c r="C316" s="6">
        <f>'Google Ads Data'!E316/'Google Ads Data'!C316</f>
        <v>0.02392344498</v>
      </c>
      <c r="D316" s="5">
        <f>'Google Ads Data'!D316/'Google Ads Data'!C316</f>
        <v>1.0015311</v>
      </c>
      <c r="E316" s="5">
        <f>'Google Ads Data'!F316/'Google Ads Data'!E316</f>
        <v>132.169</v>
      </c>
      <c r="F316" s="7">
        <f>'Google Ads Data'!F316/'Google Ads Data'!D316</f>
        <v>3.157103956</v>
      </c>
      <c r="G316" s="5">
        <f>'Google Ads Data'!D316/'Google Ads Data'!E316</f>
        <v>41.864</v>
      </c>
      <c r="H316" s="5">
        <f>('Google Ads Data'!D316/'Google Ads Data'!B316)*1000</f>
        <v>11.79998873</v>
      </c>
    </row>
    <row r="317" ht="15.75" customHeight="1">
      <c r="A317" s="3">
        <v>45242.0</v>
      </c>
      <c r="B317" s="6">
        <f>'Google Ads Data'!C317/'Google Ads Data'!B317</f>
        <v>0.01349797901</v>
      </c>
      <c r="C317" s="6">
        <f>'Google Ads Data'!E317/'Google Ads Data'!C317</f>
        <v>0.0206043956</v>
      </c>
      <c r="D317" s="5">
        <f>'Google Ads Data'!D317/'Google Ads Data'!C317</f>
        <v>1.910274725</v>
      </c>
      <c r="E317" s="5">
        <f>'Google Ads Data'!F317/'Google Ads Data'!E317</f>
        <v>198.696</v>
      </c>
      <c r="F317" s="7">
        <f>'Google Ads Data'!F317/'Google Ads Data'!D317</f>
        <v>2.14315299</v>
      </c>
      <c r="G317" s="5">
        <f>'Google Ads Data'!D317/'Google Ads Data'!E317</f>
        <v>92.712</v>
      </c>
      <c r="H317" s="5">
        <f>('Google Ads Data'!D317/'Google Ads Data'!B317)*1000</f>
        <v>25.78484815</v>
      </c>
    </row>
    <row r="318" ht="15.75" customHeight="1">
      <c r="A318" s="3">
        <v>45243.0</v>
      </c>
      <c r="B318" s="6">
        <f>'Google Ads Data'!C318/'Google Ads Data'!B318</f>
        <v>0.02569278176</v>
      </c>
      <c r="C318" s="6">
        <f>'Google Ads Data'!E318/'Google Ads Data'!C318</f>
        <v>0.01253656498</v>
      </c>
      <c r="D318" s="5">
        <f>'Google Ads Data'!D318/'Google Ads Data'!C318</f>
        <v>1.130313414</v>
      </c>
      <c r="E318" s="5">
        <f>'Google Ads Data'!F318/'Google Ads Data'!E318</f>
        <v>114.25</v>
      </c>
      <c r="F318" s="7">
        <f>'Google Ads Data'!F318/'Google Ads Data'!D318</f>
        <v>1.26717292</v>
      </c>
      <c r="G318" s="5">
        <f>'Google Ads Data'!D318/'Google Ads Data'!E318</f>
        <v>90.16133333</v>
      </c>
      <c r="H318" s="5">
        <f>('Google Ads Data'!D318/'Google Ads Data'!B318)*1000</f>
        <v>29.04089587</v>
      </c>
    </row>
    <row r="319" ht="15.75" customHeight="1">
      <c r="A319" s="3">
        <v>45244.0</v>
      </c>
      <c r="B319" s="6">
        <f>'Google Ads Data'!C319/'Google Ads Data'!B319</f>
        <v>0.01649202733</v>
      </c>
      <c r="C319" s="6">
        <f>'Google Ads Data'!E319/'Google Ads Data'!C319</f>
        <v>0.01499605367</v>
      </c>
      <c r="D319" s="5">
        <f>'Google Ads Data'!D319/'Google Ads Data'!C319</f>
        <v>1.620781373</v>
      </c>
      <c r="E319" s="5">
        <f>'Google Ads Data'!F319/'Google Ads Data'!E319</f>
        <v>144.0610526</v>
      </c>
      <c r="F319" s="7">
        <f>'Google Ads Data'!F319/'Google Ads Data'!D319</f>
        <v>1.332904803</v>
      </c>
      <c r="G319" s="5">
        <f>'Google Ads Data'!D319/'Google Ads Data'!E319</f>
        <v>108.0805263</v>
      </c>
      <c r="H319" s="5">
        <f>('Google Ads Data'!D319/'Google Ads Data'!B319)*1000</f>
        <v>26.72997071</v>
      </c>
    </row>
    <row r="320" ht="15.75" customHeight="1">
      <c r="A320" s="3">
        <v>45245.0</v>
      </c>
      <c r="B320" s="6">
        <f>'Google Ads Data'!C320/'Google Ads Data'!B320</f>
        <v>0.01678794477</v>
      </c>
      <c r="C320" s="6">
        <f>'Google Ads Data'!E320/'Google Ads Data'!C320</f>
        <v>0.01535836177</v>
      </c>
      <c r="D320" s="5">
        <f>'Google Ads Data'!D320/'Google Ads Data'!C320</f>
        <v>1.14081058</v>
      </c>
      <c r="E320" s="5">
        <f>'Google Ads Data'!F320/'Google Ads Data'!E320</f>
        <v>121.4805556</v>
      </c>
      <c r="F320" s="7">
        <f>'Google Ads Data'!F320/'Google Ads Data'!D320</f>
        <v>1.635453206</v>
      </c>
      <c r="G320" s="5">
        <f>'Google Ads Data'!D320/'Google Ads Data'!E320</f>
        <v>74.27944444</v>
      </c>
      <c r="H320" s="5">
        <f>('Google Ads Data'!D320/'Google Ads Data'!B320)*1000</f>
        <v>19.15186501</v>
      </c>
    </row>
    <row r="321" ht="15.75" customHeight="1">
      <c r="A321" s="3">
        <v>45246.0</v>
      </c>
      <c r="B321" s="6">
        <f>'Google Ads Data'!C321/'Google Ads Data'!B321</f>
        <v>0.0101859017</v>
      </c>
      <c r="C321" s="6">
        <f>'Google Ads Data'!E321/'Google Ads Data'!C321</f>
        <v>0.02120141343</v>
      </c>
      <c r="D321" s="5">
        <f>'Google Ads Data'!D321/'Google Ads Data'!C321</f>
        <v>1.281766784</v>
      </c>
      <c r="E321" s="5">
        <f>'Google Ads Data'!F321/'Google Ads Data'!E321</f>
        <v>131.6591667</v>
      </c>
      <c r="F321" s="7">
        <f>'Google Ads Data'!F321/'Google Ads Data'!D321</f>
        <v>2.17774439</v>
      </c>
      <c r="G321" s="5">
        <f>'Google Ads Data'!D321/'Google Ads Data'!E321</f>
        <v>60.45666667</v>
      </c>
      <c r="H321" s="5">
        <f>('Google Ads Data'!D321/'Google Ads Data'!B321)*1000</f>
        <v>13.05595047</v>
      </c>
    </row>
    <row r="322" ht="15.75" customHeight="1">
      <c r="A322" s="3">
        <v>45247.0</v>
      </c>
      <c r="B322" s="6">
        <f>'Google Ads Data'!C322/'Google Ads Data'!B322</f>
        <v>0.0284935127</v>
      </c>
      <c r="C322" s="6">
        <f>'Google Ads Data'!E322/'Google Ads Data'!C322</f>
        <v>0.02466699556</v>
      </c>
      <c r="D322" s="5">
        <f>'Google Ads Data'!D322/'Google Ads Data'!C322</f>
        <v>1.250281204</v>
      </c>
      <c r="E322" s="5">
        <f>'Google Ads Data'!F322/'Google Ads Data'!E322</f>
        <v>137.316</v>
      </c>
      <c r="F322" s="7">
        <f>'Google Ads Data'!F322/'Google Ads Data'!D322</f>
        <v>2.709129076</v>
      </c>
      <c r="G322" s="5">
        <f>'Google Ads Data'!D322/'Google Ads Data'!E322</f>
        <v>50.6864</v>
      </c>
      <c r="H322" s="5">
        <f>('Google Ads Data'!D322/'Google Ads Data'!B322)*1000</f>
        <v>35.62490336</v>
      </c>
    </row>
    <row r="323" ht="15.75" customHeight="1">
      <c r="A323" s="3">
        <v>45248.0</v>
      </c>
      <c r="B323" s="6">
        <f>'Google Ads Data'!C323/'Google Ads Data'!B323</f>
        <v>0.01439980138</v>
      </c>
      <c r="C323" s="6">
        <f>'Google Ads Data'!E323/'Google Ads Data'!C323</f>
        <v>0.02203065134</v>
      </c>
      <c r="D323" s="5">
        <f>'Google Ads Data'!D323/'Google Ads Data'!C323</f>
        <v>1.520019157</v>
      </c>
      <c r="E323" s="5">
        <f>'Google Ads Data'!F323/'Google Ads Data'!E323</f>
        <v>159.0078261</v>
      </c>
      <c r="F323" s="7">
        <f>'Google Ads Data'!F323/'Google Ads Data'!D323</f>
        <v>2.304606465</v>
      </c>
      <c r="G323" s="5">
        <f>'Google Ads Data'!D323/'Google Ads Data'!E323</f>
        <v>68.99565217</v>
      </c>
      <c r="H323" s="5">
        <f>('Google Ads Data'!D323/'Google Ads Data'!B323)*1000</f>
        <v>21.88797396</v>
      </c>
    </row>
    <row r="324" ht="15.75" customHeight="1">
      <c r="A324" s="3">
        <v>45249.0</v>
      </c>
      <c r="B324" s="6">
        <f>'Google Ads Data'!C324/'Google Ads Data'!B324</f>
        <v>0.01179707709</v>
      </c>
      <c r="C324" s="6">
        <f>'Google Ads Data'!E324/'Google Ads Data'!C324</f>
        <v>0.01536312849</v>
      </c>
      <c r="D324" s="5">
        <f>'Google Ads Data'!D324/'Google Ads Data'!C324</f>
        <v>1.760432961</v>
      </c>
      <c r="E324" s="5">
        <f>'Google Ads Data'!F324/'Google Ads Data'!E324</f>
        <v>148.0663636</v>
      </c>
      <c r="F324" s="7">
        <f>'Google Ads Data'!F324/'Google Ads Data'!D324</f>
        <v>1.292160861</v>
      </c>
      <c r="G324" s="5">
        <f>'Google Ads Data'!D324/'Google Ads Data'!E324</f>
        <v>114.5881818</v>
      </c>
      <c r="H324" s="5">
        <f>('Google Ads Data'!D324/'Google Ads Data'!B324)*1000</f>
        <v>20.76796336</v>
      </c>
    </row>
    <row r="325" ht="15.75" customHeight="1">
      <c r="A325" s="3">
        <v>45250.0</v>
      </c>
      <c r="B325" s="6">
        <f>'Google Ads Data'!C325/'Google Ads Data'!B325</f>
        <v>0.01938691187</v>
      </c>
      <c r="C325" s="6">
        <f>'Google Ads Data'!E325/'Google Ads Data'!C325</f>
        <v>0.02300405954</v>
      </c>
      <c r="D325" s="5">
        <f>'Google Ads Data'!D325/'Google Ads Data'!C325</f>
        <v>1.23082544</v>
      </c>
      <c r="E325" s="5">
        <f>'Google Ads Data'!F325/'Google Ads Data'!E325</f>
        <v>174.0605882</v>
      </c>
      <c r="F325" s="7">
        <f>'Google Ads Data'!F325/'Google Ads Data'!D325</f>
        <v>3.253182788</v>
      </c>
      <c r="G325" s="5">
        <f>'Google Ads Data'!D325/'Google Ads Data'!E325</f>
        <v>53.50470588</v>
      </c>
      <c r="H325" s="5">
        <f>('Google Ads Data'!D325/'Google Ads Data'!B325)*1000</f>
        <v>23.86190432</v>
      </c>
    </row>
    <row r="326" ht="15.75" customHeight="1">
      <c r="A326" s="3">
        <v>45251.0</v>
      </c>
      <c r="B326" s="6">
        <f>'Google Ads Data'!C326/'Google Ads Data'!B326</f>
        <v>0.01009050645</v>
      </c>
      <c r="C326" s="6">
        <f>'Google Ads Data'!E326/'Google Ads Data'!C326</f>
        <v>0.02290076336</v>
      </c>
      <c r="D326" s="5">
        <f>'Google Ads Data'!D326/'Google Ads Data'!C326</f>
        <v>1.61148855</v>
      </c>
      <c r="E326" s="5">
        <f>'Google Ads Data'!F326/'Google Ads Data'!E326</f>
        <v>199.91</v>
      </c>
      <c r="F326" s="7">
        <f>'Google Ads Data'!F326/'Google Ads Data'!D326</f>
        <v>2.840908553</v>
      </c>
      <c r="G326" s="5">
        <f>'Google Ads Data'!D326/'Google Ads Data'!E326</f>
        <v>70.36833333</v>
      </c>
      <c r="H326" s="5">
        <f>('Google Ads Data'!D326/'Google Ads Data'!B326)*1000</f>
        <v>16.26073561</v>
      </c>
    </row>
    <row r="327" ht="15.75" customHeight="1">
      <c r="A327" s="3">
        <v>45252.0</v>
      </c>
      <c r="B327" s="6">
        <f>'Google Ads Data'!C327/'Google Ads Data'!B327</f>
        <v>0.02389749153</v>
      </c>
      <c r="C327" s="6">
        <f>'Google Ads Data'!E327/'Google Ads Data'!C327</f>
        <v>0.01456102784</v>
      </c>
      <c r="D327" s="5">
        <f>'Google Ads Data'!D327/'Google Ads Data'!C327</f>
        <v>1.500154176</v>
      </c>
      <c r="E327" s="5">
        <f>'Google Ads Data'!F327/'Google Ads Data'!E327</f>
        <v>121.9823529</v>
      </c>
      <c r="F327" s="7">
        <f>'Google Ads Data'!F327/'Google Ads Data'!D327</f>
        <v>1.184003928</v>
      </c>
      <c r="G327" s="5">
        <f>'Google Ads Data'!D327/'Google Ads Data'!E327</f>
        <v>103.0252941</v>
      </c>
      <c r="H327" s="5">
        <f>('Google Ads Data'!D327/'Google Ads Data'!B327)*1000</f>
        <v>35.84992171</v>
      </c>
    </row>
    <row r="328" ht="15.75" customHeight="1">
      <c r="A328" s="3">
        <v>45253.0</v>
      </c>
      <c r="B328" s="6">
        <f>'Google Ads Data'!C328/'Google Ads Data'!B328</f>
        <v>0.01199383628</v>
      </c>
      <c r="C328" s="6">
        <f>'Google Ads Data'!E328/'Google Ads Data'!C328</f>
        <v>0.0119205298</v>
      </c>
      <c r="D328" s="5">
        <f>'Google Ads Data'!D328/'Google Ads Data'!C328</f>
        <v>1.500768212</v>
      </c>
      <c r="E328" s="5">
        <f>'Google Ads Data'!F328/'Google Ads Data'!E328</f>
        <v>192.3044444</v>
      </c>
      <c r="F328" s="7">
        <f>'Google Ads Data'!F328/'Google Ads Data'!D328</f>
        <v>1.527464963</v>
      </c>
      <c r="G328" s="5">
        <f>'Google Ads Data'!D328/'Google Ads Data'!E328</f>
        <v>125.8977778</v>
      </c>
      <c r="H328" s="5">
        <f>('Google Ads Data'!D328/'Google Ads Data'!B328)*1000</f>
        <v>17.99996823</v>
      </c>
    </row>
    <row r="329" ht="15.75" customHeight="1">
      <c r="A329" s="3">
        <v>45254.0</v>
      </c>
      <c r="B329" s="6">
        <f>'Google Ads Data'!C329/'Google Ads Data'!B329</f>
        <v>0.0153955809</v>
      </c>
      <c r="C329" s="6">
        <f>'Google Ads Data'!E329/'Google Ads Data'!C329</f>
        <v>0.01322751323</v>
      </c>
      <c r="D329" s="5">
        <f>'Google Ads Data'!D329/'Google Ads Data'!C329</f>
        <v>1.580449735</v>
      </c>
      <c r="E329" s="5">
        <f>'Google Ads Data'!F329/'Google Ads Data'!E329</f>
        <v>156.053</v>
      </c>
      <c r="F329" s="7">
        <f>'Google Ads Data'!F329/'Google Ads Data'!D329</f>
        <v>1.306079577</v>
      </c>
      <c r="G329" s="5">
        <f>'Google Ads Data'!D329/'Google Ads Data'!E329</f>
        <v>119.482</v>
      </c>
      <c r="H329" s="5">
        <f>('Google Ads Data'!D329/'Google Ads Data'!B329)*1000</f>
        <v>24.33194176</v>
      </c>
    </row>
    <row r="330" ht="15.75" customHeight="1">
      <c r="A330" s="3">
        <v>45255.0</v>
      </c>
      <c r="B330" s="6">
        <f>'Google Ads Data'!C330/'Google Ads Data'!B330</f>
        <v>0.01325273192</v>
      </c>
      <c r="C330" s="6">
        <f>'Google Ads Data'!E330/'Google Ads Data'!C330</f>
        <v>0.01315789474</v>
      </c>
      <c r="D330" s="5">
        <f>'Google Ads Data'!D330/'Google Ads Data'!C330</f>
        <v>1.655877193</v>
      </c>
      <c r="E330" s="5">
        <f>'Google Ads Data'!F330/'Google Ads Data'!E330</f>
        <v>201.3866667</v>
      </c>
      <c r="F330" s="7">
        <f>'Google Ads Data'!F330/'Google Ads Data'!D330</f>
        <v>1.600254278</v>
      </c>
      <c r="G330" s="5">
        <f>'Google Ads Data'!D330/'Google Ads Data'!E330</f>
        <v>125.8466667</v>
      </c>
      <c r="H330" s="5">
        <f>('Google Ads Data'!D330/'Google Ads Data'!B330)*1000</f>
        <v>21.94489654</v>
      </c>
    </row>
    <row r="331" ht="15.75" customHeight="1">
      <c r="A331" s="3">
        <v>45256.0</v>
      </c>
      <c r="B331" s="6">
        <f>'Google Ads Data'!C331/'Google Ads Data'!B331</f>
        <v>0.0103682517</v>
      </c>
      <c r="C331" s="6">
        <f>'Google Ads Data'!E331/'Google Ads Data'!C331</f>
        <v>0.01724137931</v>
      </c>
      <c r="D331" s="5">
        <f>'Google Ads Data'!D331/'Google Ads Data'!C331</f>
        <v>1.80545977</v>
      </c>
      <c r="E331" s="5">
        <f>'Google Ads Data'!F331/'Google Ads Data'!E331</f>
        <v>133.0866667</v>
      </c>
      <c r="F331" s="7">
        <f>'Google Ads Data'!F331/'Google Ads Data'!D331</f>
        <v>1.270921534</v>
      </c>
      <c r="G331" s="5">
        <f>'Google Ads Data'!D331/'Google Ads Data'!E331</f>
        <v>104.7166667</v>
      </c>
      <c r="H331" s="5">
        <f>('Google Ads Data'!D331/'Google Ads Data'!B331)*1000</f>
        <v>18.71946133</v>
      </c>
    </row>
    <row r="332" ht="15.75" customHeight="1">
      <c r="A332" s="3">
        <v>45257.0</v>
      </c>
      <c r="B332" s="6">
        <f>'Google Ads Data'!C332/'Google Ads Data'!B332</f>
        <v>0.01704229271</v>
      </c>
      <c r="C332" s="6">
        <f>'Google Ads Data'!E332/'Google Ads Data'!C332</f>
        <v>0.01224489796</v>
      </c>
      <c r="D332" s="5">
        <f>'Google Ads Data'!D332/'Google Ads Data'!C332</f>
        <v>1.525142857</v>
      </c>
      <c r="E332" s="5">
        <f>'Google Ads Data'!F332/'Google Ads Data'!E332</f>
        <v>201.9066667</v>
      </c>
      <c r="F332" s="7">
        <f>'Google Ads Data'!F332/'Google Ads Data'!D332</f>
        <v>1.621045871</v>
      </c>
      <c r="G332" s="5">
        <f>'Google Ads Data'!D332/'Google Ads Data'!E332</f>
        <v>124.5533333</v>
      </c>
      <c r="H332" s="5">
        <f>('Google Ads Data'!D332/'Google Ads Data'!B332)*1000</f>
        <v>25.991931</v>
      </c>
    </row>
    <row r="333" ht="15.75" customHeight="1">
      <c r="A333" s="3">
        <v>45258.0</v>
      </c>
      <c r="B333" s="6">
        <f>'Google Ads Data'!C333/'Google Ads Data'!B333</f>
        <v>0.02329499392</v>
      </c>
      <c r="C333" s="6">
        <f>'Google Ads Data'!E333/'Google Ads Data'!C333</f>
        <v>0.01305057096</v>
      </c>
      <c r="D333" s="5">
        <f>'Google Ads Data'!D333/'Google Ads Data'!C333</f>
        <v>1.90040783</v>
      </c>
      <c r="E333" s="5">
        <f>'Google Ads Data'!F333/'Google Ads Data'!E333</f>
        <v>108.2483333</v>
      </c>
      <c r="F333" s="7">
        <f>'Google Ads Data'!F333/'Google Ads Data'!D333</f>
        <v>0.7433680988</v>
      </c>
      <c r="G333" s="5">
        <f>'Google Ads Data'!D333/'Google Ads Data'!E333</f>
        <v>145.61875</v>
      </c>
      <c r="H333" s="5">
        <f>('Google Ads Data'!D333/'Google Ads Data'!B333)*1000</f>
        <v>44.26998885</v>
      </c>
    </row>
    <row r="334" ht="15.75" customHeight="1">
      <c r="A334" s="3">
        <v>45259.0</v>
      </c>
      <c r="B334" s="6">
        <f>'Google Ads Data'!C334/'Google Ads Data'!B334</f>
        <v>0.02517238823</v>
      </c>
      <c r="C334" s="6">
        <f>'Google Ads Data'!E334/'Google Ads Data'!C334</f>
        <v>0.0147275405</v>
      </c>
      <c r="D334" s="5">
        <f>'Google Ads Data'!D334/'Google Ads Data'!C334</f>
        <v>1.661811487</v>
      </c>
      <c r="E334" s="5">
        <f>'Google Ads Data'!F334/'Google Ads Data'!E334</f>
        <v>180.649</v>
      </c>
      <c r="F334" s="7">
        <f>'Google Ads Data'!F334/'Google Ads Data'!D334</f>
        <v>1.600973085</v>
      </c>
      <c r="G334" s="5">
        <f>'Google Ads Data'!D334/'Google Ads Data'!E334</f>
        <v>112.837</v>
      </c>
      <c r="H334" s="5">
        <f>('Google Ads Data'!D334/'Google Ads Data'!B334)*1000</f>
        <v>41.83176392</v>
      </c>
    </row>
    <row r="335" ht="15.75" customHeight="1">
      <c r="A335" s="3">
        <v>45260.0</v>
      </c>
      <c r="B335" s="6">
        <f>'Google Ads Data'!C335/'Google Ads Data'!B335</f>
        <v>0.02639533066</v>
      </c>
      <c r="C335" s="6">
        <f>'Google Ads Data'!E335/'Google Ads Data'!C335</f>
        <v>0.01776900296</v>
      </c>
      <c r="D335" s="5">
        <f>'Google Ads Data'!D335/'Google Ads Data'!C335</f>
        <v>1.590276407</v>
      </c>
      <c r="E335" s="5">
        <f>'Google Ads Data'!F335/'Google Ads Data'!E335</f>
        <v>163.3133333</v>
      </c>
      <c r="F335" s="7">
        <f>'Google Ads Data'!F335/'Google Ads Data'!D335</f>
        <v>1.824786617</v>
      </c>
      <c r="G335" s="5">
        <f>'Google Ads Data'!D335/'Google Ads Data'!E335</f>
        <v>89.49722222</v>
      </c>
      <c r="H335" s="5">
        <f>('Google Ads Data'!D335/'Google Ads Data'!B335)*1000</f>
        <v>41.97587159</v>
      </c>
    </row>
    <row r="336" ht="15.75" customHeight="1">
      <c r="A336" s="3">
        <v>45261.0</v>
      </c>
      <c r="B336" s="6">
        <f>'Google Ads Data'!C336/'Google Ads Data'!B336</f>
        <v>0.02448126138</v>
      </c>
      <c r="C336" s="6">
        <f>'Google Ads Data'!E336/'Google Ads Data'!C336</f>
        <v>0.01266857376</v>
      </c>
      <c r="D336" s="5">
        <f>'Google Ads Data'!D336/'Google Ads Data'!C336</f>
        <v>1.200915407</v>
      </c>
      <c r="E336" s="5">
        <f>'Google Ads Data'!F336/'Google Ads Data'!E336</f>
        <v>178.6703226</v>
      </c>
      <c r="F336" s="7">
        <f>'Google Ads Data'!F336/'Google Ads Data'!D336</f>
        <v>1.884810661</v>
      </c>
      <c r="G336" s="5">
        <f>'Google Ads Data'!D336/'Google Ads Data'!E336</f>
        <v>94.79483871</v>
      </c>
      <c r="H336" s="5">
        <f>('Google Ads Data'!D336/'Google Ads Data'!B336)*1000</f>
        <v>29.39992397</v>
      </c>
    </row>
    <row r="337" ht="15.75" customHeight="1">
      <c r="A337" s="3">
        <v>45262.0</v>
      </c>
      <c r="B337" s="6">
        <f>'Google Ads Data'!C337/'Google Ads Data'!B337</f>
        <v>0.02018995988</v>
      </c>
      <c r="C337" s="6">
        <f>'Google Ads Data'!E337/'Google Ads Data'!C337</f>
        <v>0.01811401172</v>
      </c>
      <c r="D337" s="5">
        <f>'Google Ads Data'!D337/'Google Ads Data'!C337</f>
        <v>1.450719233</v>
      </c>
      <c r="E337" s="5">
        <f>'Google Ads Data'!F337/'Google Ads Data'!E337</f>
        <v>196.255</v>
      </c>
      <c r="F337" s="7">
        <f>'Google Ads Data'!F337/'Google Ads Data'!D337</f>
        <v>2.450484759</v>
      </c>
      <c r="G337" s="5">
        <f>'Google Ads Data'!D337/'Google Ads Data'!E337</f>
        <v>80.08823529</v>
      </c>
      <c r="H337" s="5">
        <f>('Google Ads Data'!D337/'Google Ads Data'!B337)*1000</f>
        <v>29.28996311</v>
      </c>
    </row>
    <row r="338" ht="15.75" customHeight="1">
      <c r="A338" s="3">
        <v>45263.0</v>
      </c>
      <c r="B338" s="6">
        <f>'Google Ads Data'!C338/'Google Ads Data'!B338</f>
        <v>0.01158187696</v>
      </c>
      <c r="C338" s="6">
        <f>'Google Ads Data'!E338/'Google Ads Data'!C338</f>
        <v>0.01791044776</v>
      </c>
      <c r="D338" s="5">
        <f>'Google Ads Data'!D338/'Google Ads Data'!C338</f>
        <v>1.842865672</v>
      </c>
      <c r="E338" s="5">
        <f>'Google Ads Data'!F338/'Google Ads Data'!E338</f>
        <v>218.7783333</v>
      </c>
      <c r="F338" s="7">
        <f>'Google Ads Data'!F338/'Google Ads Data'!D338</f>
        <v>2.126263444</v>
      </c>
      <c r="G338" s="5">
        <f>'Google Ads Data'!D338/'Google Ads Data'!E338</f>
        <v>102.8933333</v>
      </c>
      <c r="H338" s="5">
        <f>('Google Ads Data'!D338/'Google Ads Data'!B338)*1000</f>
        <v>21.34384345</v>
      </c>
    </row>
    <row r="339" ht="15.75" customHeight="1">
      <c r="A339" s="3">
        <v>45264.0</v>
      </c>
      <c r="B339" s="6">
        <f>'Google Ads Data'!C339/'Google Ads Data'!B339</f>
        <v>0.02609072822</v>
      </c>
      <c r="C339" s="6">
        <f>'Google Ads Data'!E339/'Google Ads Data'!C339</f>
        <v>0.02240693892</v>
      </c>
      <c r="D339" s="5">
        <f>'Google Ads Data'!D339/'Google Ads Data'!C339</f>
        <v>1.690596314</v>
      </c>
      <c r="E339" s="5">
        <f>'Google Ads Data'!F339/'Google Ads Data'!E339</f>
        <v>183.5708065</v>
      </c>
      <c r="F339" s="7">
        <f>'Google Ads Data'!F339/'Google Ads Data'!D339</f>
        <v>2.433023079</v>
      </c>
      <c r="G339" s="5">
        <f>'Google Ads Data'!D339/'Google Ads Data'!E339</f>
        <v>75.44967742</v>
      </c>
      <c r="H339" s="5">
        <f>('Google Ads Data'!D339/'Google Ads Data'!B339)*1000</f>
        <v>44.10888895</v>
      </c>
    </row>
    <row r="340" ht="15.75" customHeight="1">
      <c r="A340" s="3">
        <v>45265.0</v>
      </c>
      <c r="B340" s="6">
        <f>'Google Ads Data'!C340/'Google Ads Data'!B340</f>
        <v>0.01009012797</v>
      </c>
      <c r="C340" s="6">
        <f>'Google Ads Data'!E340/'Google Ads Data'!C340</f>
        <v>0.02473958333</v>
      </c>
      <c r="D340" s="5">
        <f>'Google Ads Data'!D340/'Google Ads Data'!C340</f>
        <v>1.541497396</v>
      </c>
      <c r="E340" s="5">
        <f>'Google Ads Data'!F340/'Google Ads Data'!E340</f>
        <v>121.3815789</v>
      </c>
      <c r="F340" s="7">
        <f>'Google Ads Data'!F340/'Google Ads Data'!D340</f>
        <v>1.948060176</v>
      </c>
      <c r="G340" s="5">
        <f>'Google Ads Data'!D340/'Google Ads Data'!E340</f>
        <v>62.30894737</v>
      </c>
      <c r="H340" s="5">
        <f>('Google Ads Data'!D340/'Google Ads Data'!B340)*1000</f>
        <v>15.55390598</v>
      </c>
    </row>
    <row r="341" ht="15.75" customHeight="1">
      <c r="A341" s="3">
        <v>45266.0</v>
      </c>
      <c r="B341" s="6">
        <f>'Google Ads Data'!C341/'Google Ads Data'!B341</f>
        <v>0.02978858575</v>
      </c>
      <c r="C341" s="6">
        <f>'Google Ads Data'!E341/'Google Ads Data'!C341</f>
        <v>0.01362559242</v>
      </c>
      <c r="D341" s="5">
        <f>'Google Ads Data'!D341/'Google Ads Data'!C341</f>
        <v>1.590604265</v>
      </c>
      <c r="E341" s="5">
        <f>'Google Ads Data'!F341/'Google Ads Data'!E341</f>
        <v>193.7534783</v>
      </c>
      <c r="F341" s="7">
        <f>'Google Ads Data'!F341/'Google Ads Data'!D341</f>
        <v>1.659750311</v>
      </c>
      <c r="G341" s="5">
        <f>'Google Ads Data'!D341/'Google Ads Data'!E341</f>
        <v>116.7365217</v>
      </c>
      <c r="H341" s="5">
        <f>('Google Ads Data'!D341/'Google Ads Data'!B341)*1000</f>
        <v>47.38185155</v>
      </c>
    </row>
    <row r="342" ht="15.75" customHeight="1">
      <c r="A342" s="3">
        <v>45267.0</v>
      </c>
      <c r="B342" s="6">
        <f>'Google Ads Data'!C342/'Google Ads Data'!B342</f>
        <v>0.02078880087</v>
      </c>
      <c r="C342" s="6">
        <f>'Google Ads Data'!E342/'Google Ads Data'!C342</f>
        <v>0.02016129032</v>
      </c>
      <c r="D342" s="5">
        <f>'Google Ads Data'!D342/'Google Ads Data'!C342</f>
        <v>1.520813172</v>
      </c>
      <c r="E342" s="5">
        <f>'Google Ads Data'!F342/'Google Ads Data'!E342</f>
        <v>150.4433333</v>
      </c>
      <c r="F342" s="7">
        <f>'Google Ads Data'!F342/'Google Ads Data'!D342</f>
        <v>1.99441442</v>
      </c>
      <c r="G342" s="5">
        <f>'Google Ads Data'!D342/'Google Ads Data'!E342</f>
        <v>75.43233333</v>
      </c>
      <c r="H342" s="5">
        <f>('Google Ads Data'!D342/'Google Ads Data'!B342)*1000</f>
        <v>31.6158822</v>
      </c>
    </row>
    <row r="343" ht="15.75" customHeight="1">
      <c r="A343" s="3">
        <v>45268.0</v>
      </c>
      <c r="B343" s="6">
        <f>'Google Ads Data'!C343/'Google Ads Data'!B343</f>
        <v>0.01558203483</v>
      </c>
      <c r="C343" s="6">
        <f>'Google Ads Data'!E343/'Google Ads Data'!C343</f>
        <v>0.01920768307</v>
      </c>
      <c r="D343" s="5">
        <f>'Google Ads Data'!D343/'Google Ads Data'!C343</f>
        <v>1.992292917</v>
      </c>
      <c r="E343" s="5">
        <f>'Google Ads Data'!F343/'Google Ads Data'!E343</f>
        <v>202.276875</v>
      </c>
      <c r="F343" s="7">
        <f>'Google Ads Data'!F343/'Google Ads Data'!D343</f>
        <v>1.950150038</v>
      </c>
      <c r="G343" s="5">
        <f>'Google Ads Data'!D343/'Google Ads Data'!E343</f>
        <v>103.72375</v>
      </c>
      <c r="H343" s="5">
        <f>('Google Ads Data'!D343/'Google Ads Data'!B343)*1000</f>
        <v>31.04397763</v>
      </c>
    </row>
    <row r="344" ht="15.75" customHeight="1">
      <c r="A344" s="3">
        <v>45269.0</v>
      </c>
      <c r="B344" s="6">
        <f>'Google Ads Data'!C344/'Google Ads Data'!B344</f>
        <v>0.0230735681</v>
      </c>
      <c r="C344" s="6">
        <f>'Google Ads Data'!E344/'Google Ads Data'!C344</f>
        <v>0.02256097561</v>
      </c>
      <c r="D344" s="5">
        <f>'Google Ads Data'!D344/'Google Ads Data'!C344</f>
        <v>1.651890244</v>
      </c>
      <c r="E344" s="5">
        <f>'Google Ads Data'!F344/'Google Ads Data'!E344</f>
        <v>126.1805405</v>
      </c>
      <c r="F344" s="7">
        <f>'Google Ads Data'!F344/'Google Ads Data'!D344</f>
        <v>1.723332472</v>
      </c>
      <c r="G344" s="5">
        <f>'Google Ads Data'!D344/'Google Ads Data'!E344</f>
        <v>73.21891892</v>
      </c>
      <c r="H344" s="5">
        <f>('Google Ads Data'!D344/'Google Ads Data'!B344)*1000</f>
        <v>38.11500204</v>
      </c>
    </row>
    <row r="345" ht="15.75" customHeight="1">
      <c r="A345" s="3">
        <v>45270.0</v>
      </c>
      <c r="B345" s="6">
        <f>'Google Ads Data'!C345/'Google Ads Data'!B345</f>
        <v>0.01867051502</v>
      </c>
      <c r="C345" s="6">
        <f>'Google Ads Data'!E345/'Google Ads Data'!C345</f>
        <v>0.01449275362</v>
      </c>
      <c r="D345" s="5">
        <f>'Google Ads Data'!D345/'Google Ads Data'!C345</f>
        <v>1.882958937</v>
      </c>
      <c r="E345" s="5">
        <f>'Google Ads Data'!F345/'Google Ads Data'!E345</f>
        <v>126.0541667</v>
      </c>
      <c r="F345" s="7">
        <f>'Google Ads Data'!F345/'Google Ads Data'!D345</f>
        <v>0.9702133937</v>
      </c>
      <c r="G345" s="5">
        <f>'Google Ads Data'!D345/'Google Ads Data'!E345</f>
        <v>129.9241667</v>
      </c>
      <c r="H345" s="5">
        <f>('Google Ads Data'!D345/'Google Ads Data'!B345)*1000</f>
        <v>35.15581311</v>
      </c>
    </row>
    <row r="346" ht="15.75" customHeight="1">
      <c r="A346" s="3">
        <v>45271.0</v>
      </c>
      <c r="B346" s="6">
        <f>'Google Ads Data'!C346/'Google Ads Data'!B346</f>
        <v>0.01178194059</v>
      </c>
      <c r="C346" s="6">
        <f>'Google Ads Data'!E346/'Google Ads Data'!C346</f>
        <v>0.0119047619</v>
      </c>
      <c r="D346" s="5">
        <f>'Google Ads Data'!D346/'Google Ads Data'!C346</f>
        <v>1.963002646</v>
      </c>
      <c r="E346" s="5">
        <f>'Google Ads Data'!F346/'Google Ads Data'!E346</f>
        <v>207.1922222</v>
      </c>
      <c r="F346" s="7">
        <f>'Google Ads Data'!F346/'Google Ads Data'!D346</f>
        <v>1.256531202</v>
      </c>
      <c r="G346" s="5">
        <f>'Google Ads Data'!D346/'Google Ads Data'!E346</f>
        <v>164.8922222</v>
      </c>
      <c r="H346" s="5">
        <f>('Google Ads Data'!D346/'Google Ads Data'!B346)*1000</f>
        <v>23.12798055</v>
      </c>
    </row>
    <row r="347" ht="15.75" customHeight="1">
      <c r="A347" s="3">
        <v>45272.0</v>
      </c>
      <c r="B347" s="6">
        <f>'Google Ads Data'!C347/'Google Ads Data'!B347</f>
        <v>0.009974989821</v>
      </c>
      <c r="C347" s="6">
        <f>'Google Ads Data'!E347/'Google Ads Data'!C347</f>
        <v>0.01166180758</v>
      </c>
      <c r="D347" s="5">
        <f>'Google Ads Data'!D347/'Google Ads Data'!C347</f>
        <v>1.71425656</v>
      </c>
      <c r="E347" s="5">
        <f>'Google Ads Data'!F347/'Google Ads Data'!E347</f>
        <v>142.6325</v>
      </c>
      <c r="F347" s="7">
        <f>'Google Ads Data'!F347/'Google Ads Data'!D347</f>
        <v>0.9703056174</v>
      </c>
      <c r="G347" s="5">
        <f>'Google Ads Data'!D347/'Google Ads Data'!E347</f>
        <v>146.9975</v>
      </c>
      <c r="H347" s="5">
        <f>('Google Ads Data'!D347/'Google Ads Data'!B347)*1000</f>
        <v>17.09969174</v>
      </c>
    </row>
    <row r="348" ht="15.75" customHeight="1">
      <c r="A348" s="3">
        <v>45273.0</v>
      </c>
      <c r="B348" s="6">
        <f>'Google Ads Data'!C348/'Google Ads Data'!B348</f>
        <v>0.02019009923</v>
      </c>
      <c r="C348" s="6">
        <f>'Google Ads Data'!E348/'Google Ads Data'!C348</f>
        <v>0.02248201439</v>
      </c>
      <c r="D348" s="5">
        <f>'Google Ads Data'!D348/'Google Ads Data'!C348</f>
        <v>1.480723921</v>
      </c>
      <c r="E348" s="5">
        <f>'Google Ads Data'!F348/'Google Ads Data'!E348</f>
        <v>120.7422</v>
      </c>
      <c r="F348" s="7">
        <f>'Google Ads Data'!F348/'Google Ads Data'!D348</f>
        <v>1.833243753</v>
      </c>
      <c r="G348" s="5">
        <f>'Google Ads Data'!D348/'Google Ads Data'!E348</f>
        <v>65.8626</v>
      </c>
      <c r="H348" s="5">
        <f>('Google Ads Data'!D348/'Google Ads Data'!B348)*1000</f>
        <v>29.89596289</v>
      </c>
    </row>
    <row r="349" ht="15.75" customHeight="1">
      <c r="A349" s="3">
        <v>45274.0</v>
      </c>
      <c r="B349" s="6">
        <f>'Google Ads Data'!C349/'Google Ads Data'!B349</f>
        <v>0.0298417301</v>
      </c>
      <c r="C349" s="6">
        <f>'Google Ads Data'!E349/'Google Ads Data'!C349</f>
        <v>0.01484480432</v>
      </c>
      <c r="D349" s="5">
        <f>'Google Ads Data'!D349/'Google Ads Data'!C349</f>
        <v>1.803481781</v>
      </c>
      <c r="E349" s="5">
        <f>'Google Ads Data'!F349/'Google Ads Data'!E349</f>
        <v>198.03</v>
      </c>
      <c r="F349" s="7">
        <f>'Google Ads Data'!F349/'Google Ads Data'!D349</f>
        <v>1.630022898</v>
      </c>
      <c r="G349" s="5">
        <f>'Google Ads Data'!D349/'Google Ads Data'!E349</f>
        <v>121.4890909</v>
      </c>
      <c r="H349" s="5">
        <f>('Google Ads Data'!D349/'Google Ads Data'!B349)*1000</f>
        <v>53.81901655</v>
      </c>
    </row>
    <row r="350" ht="15.75" customHeight="1">
      <c r="A350" s="3">
        <v>45275.0</v>
      </c>
      <c r="B350" s="6">
        <f>'Google Ads Data'!C350/'Google Ads Data'!B350</f>
        <v>0.02779061812</v>
      </c>
      <c r="C350" s="6">
        <f>'Google Ads Data'!E350/'Google Ads Data'!C350</f>
        <v>0.01962741184</v>
      </c>
      <c r="D350" s="5">
        <f>'Google Ads Data'!D350/'Google Ads Data'!C350</f>
        <v>1.640552229</v>
      </c>
      <c r="E350" s="5">
        <f>'Google Ads Data'!F350/'Google Ads Data'!E350</f>
        <v>103.9713559</v>
      </c>
      <c r="F350" s="7">
        <f>'Google Ads Data'!F350/'Google Ads Data'!D350</f>
        <v>1.243903478</v>
      </c>
      <c r="G350" s="5">
        <f>'Google Ads Data'!D350/'Google Ads Data'!E350</f>
        <v>83.58474576</v>
      </c>
      <c r="H350" s="5">
        <f>('Google Ads Data'!D350/'Google Ads Data'!B350)*1000</f>
        <v>45.59196051</v>
      </c>
    </row>
    <row r="351" ht="15.75" customHeight="1">
      <c r="A351" s="3">
        <v>45276.0</v>
      </c>
      <c r="B351" s="6">
        <f>'Google Ads Data'!C351/'Google Ads Data'!B351</f>
        <v>0.02729566648</v>
      </c>
      <c r="C351" s="6">
        <f>'Google Ads Data'!E351/'Google Ads Data'!C351</f>
        <v>0.02170418006</v>
      </c>
      <c r="D351" s="5">
        <f>'Google Ads Data'!D351/'Google Ads Data'!C351</f>
        <v>1.250196945</v>
      </c>
      <c r="E351" s="5">
        <f>'Google Ads Data'!F351/'Google Ads Data'!E351</f>
        <v>200.9148148</v>
      </c>
      <c r="F351" s="7">
        <f>'Google Ads Data'!F351/'Google Ads Data'!D351</f>
        <v>3.488003498</v>
      </c>
      <c r="G351" s="5">
        <f>'Google Ads Data'!D351/'Google Ads Data'!E351</f>
        <v>57.60166667</v>
      </c>
      <c r="H351" s="5">
        <f>('Google Ads Data'!D351/'Google Ads Data'!B351)*1000</f>
        <v>34.12495886</v>
      </c>
    </row>
    <row r="352" ht="15.75" customHeight="1">
      <c r="A352" s="3">
        <v>45277.0</v>
      </c>
      <c r="B352" s="6">
        <f>'Google Ads Data'!C352/'Google Ads Data'!B352</f>
        <v>0.01446596307</v>
      </c>
      <c r="C352" s="6">
        <f>'Google Ads Data'!E352/'Google Ads Data'!C352</f>
        <v>0.01337295691</v>
      </c>
      <c r="D352" s="5">
        <f>'Google Ads Data'!D352/'Google Ads Data'!C352</f>
        <v>1.513551263</v>
      </c>
      <c r="E352" s="5">
        <f>'Google Ads Data'!F352/'Google Ads Data'!E352</f>
        <v>186.6344444</v>
      </c>
      <c r="F352" s="7">
        <f>'Google Ads Data'!F352/'Google Ads Data'!D352</f>
        <v>1.649005517</v>
      </c>
      <c r="G352" s="5">
        <f>'Google Ads Data'!D352/'Google Ads Data'!E352</f>
        <v>113.18</v>
      </c>
      <c r="H352" s="5">
        <f>('Google Ads Data'!D352/'Google Ads Data'!B352)*1000</f>
        <v>21.89497668</v>
      </c>
    </row>
    <row r="353" ht="15.75" customHeight="1">
      <c r="A353" s="3">
        <v>45278.0</v>
      </c>
      <c r="B353" s="6">
        <f>'Google Ads Data'!C353/'Google Ads Data'!B353</f>
        <v>0.01678908709</v>
      </c>
      <c r="C353" s="6">
        <f>'Google Ads Data'!E353/'Google Ads Data'!C353</f>
        <v>0.01941747573</v>
      </c>
      <c r="D353" s="5">
        <f>'Google Ads Data'!D353/'Google Ads Data'!C353</f>
        <v>1.651074029</v>
      </c>
      <c r="E353" s="5">
        <f>'Google Ads Data'!F353/'Google Ads Data'!E353</f>
        <v>174.018125</v>
      </c>
      <c r="F353" s="7">
        <f>'Google Ads Data'!F353/'Google Ads Data'!D353</f>
        <v>2.046542226</v>
      </c>
      <c r="G353" s="5">
        <f>'Google Ads Data'!D353/'Google Ads Data'!E353</f>
        <v>85.0303125</v>
      </c>
      <c r="H353" s="5">
        <f>('Google Ads Data'!D353/'Google Ads Data'!B353)*1000</f>
        <v>27.72002567</v>
      </c>
    </row>
    <row r="354" ht="15.75" customHeight="1">
      <c r="A354" s="3">
        <v>45279.0</v>
      </c>
      <c r="B354" s="6">
        <f>'Google Ads Data'!C354/'Google Ads Data'!B354</f>
        <v>0.02928650045</v>
      </c>
      <c r="C354" s="6">
        <f>'Google Ads Data'!E354/'Google Ads Data'!C354</f>
        <v>0.01470588235</v>
      </c>
      <c r="D354" s="5">
        <f>'Google Ads Data'!D354/'Google Ads Data'!C354</f>
        <v>1.590731209</v>
      </c>
      <c r="E354" s="5">
        <f>'Google Ads Data'!F354/'Google Ads Data'!E354</f>
        <v>143.6411111</v>
      </c>
      <c r="F354" s="7">
        <f>'Google Ads Data'!F354/'Google Ads Data'!D354</f>
        <v>1.327923454</v>
      </c>
      <c r="G354" s="5">
        <f>'Google Ads Data'!D354/'Google Ads Data'!E354</f>
        <v>108.1697222</v>
      </c>
      <c r="H354" s="5">
        <f>('Google Ads Data'!D354/'Google Ads Data'!B354)*1000</f>
        <v>46.58695028</v>
      </c>
    </row>
    <row r="355" ht="15.75" customHeight="1">
      <c r="A355" s="3">
        <v>45280.0</v>
      </c>
      <c r="B355" s="6">
        <f>'Google Ads Data'!C355/'Google Ads Data'!B355</f>
        <v>0.02609655437</v>
      </c>
      <c r="C355" s="6">
        <f>'Google Ads Data'!E355/'Google Ads Data'!C355</f>
        <v>0.01250459728</v>
      </c>
      <c r="D355" s="5">
        <f>'Google Ads Data'!D355/'Google Ads Data'!C355</f>
        <v>1.310172858</v>
      </c>
      <c r="E355" s="5">
        <f>'Google Ads Data'!F355/'Google Ads Data'!E355</f>
        <v>170.5197059</v>
      </c>
      <c r="F355" s="7">
        <f>'Google Ads Data'!F355/'Google Ads Data'!D355</f>
        <v>1.627480097</v>
      </c>
      <c r="G355" s="5">
        <f>'Google Ads Data'!D355/'Google Ads Data'!E355</f>
        <v>104.7752941</v>
      </c>
      <c r="H355" s="5">
        <f>('Google Ads Data'!D355/'Google Ads Data'!B355)*1000</f>
        <v>34.19099722</v>
      </c>
    </row>
    <row r="356" ht="15.75" customHeight="1">
      <c r="A356" s="3">
        <v>45281.0</v>
      </c>
      <c r="B356" s="6">
        <f>'Google Ads Data'!C356/'Google Ads Data'!B356</f>
        <v>0.01097800393</v>
      </c>
      <c r="C356" s="6">
        <f>'Google Ads Data'!E356/'Google Ads Data'!C356</f>
        <v>0.01459854015</v>
      </c>
      <c r="D356" s="5">
        <f>'Google Ads Data'!D356/'Google Ads Data'!C356</f>
        <v>1.392773723</v>
      </c>
      <c r="E356" s="5">
        <f>'Google Ads Data'!F356/'Google Ads Data'!E356</f>
        <v>208.2175</v>
      </c>
      <c r="F356" s="7">
        <f>'Google Ads Data'!F356/'Google Ads Data'!D356</f>
        <v>2.182458991</v>
      </c>
      <c r="G356" s="5">
        <f>'Google Ads Data'!D356/'Google Ads Data'!E356</f>
        <v>95.405</v>
      </c>
      <c r="H356" s="5">
        <f>('Google Ads Data'!D356/'Google Ads Data'!B356)*1000</f>
        <v>15.2898754</v>
      </c>
    </row>
    <row r="357" ht="15.75" customHeight="1">
      <c r="A357" s="3">
        <v>45282.0</v>
      </c>
      <c r="B357" s="6">
        <f>'Google Ads Data'!C357/'Google Ads Data'!B357</f>
        <v>0.01578468378</v>
      </c>
      <c r="C357" s="6">
        <f>'Google Ads Data'!E357/'Google Ads Data'!C357</f>
        <v>0.01417769376</v>
      </c>
      <c r="D357" s="5">
        <f>'Google Ads Data'!D357/'Google Ads Data'!C357</f>
        <v>1.241200378</v>
      </c>
      <c r="E357" s="5">
        <f>'Google Ads Data'!F357/'Google Ads Data'!E357</f>
        <v>120.6866667</v>
      </c>
      <c r="F357" s="7">
        <f>'Google Ads Data'!F357/'Google Ads Data'!D357</f>
        <v>1.378551466</v>
      </c>
      <c r="G357" s="5">
        <f>'Google Ads Data'!D357/'Google Ads Data'!E357</f>
        <v>87.546</v>
      </c>
      <c r="H357" s="5">
        <f>('Google Ads Data'!D357/'Google Ads Data'!B357)*1000</f>
        <v>19.59195548</v>
      </c>
    </row>
    <row r="358" ht="15.75" customHeight="1">
      <c r="A358" s="3">
        <v>45283.0</v>
      </c>
      <c r="B358" s="6">
        <f>'Google Ads Data'!C358/'Google Ads Data'!B358</f>
        <v>0.01068137884</v>
      </c>
      <c r="C358" s="6">
        <f>'Google Ads Data'!E358/'Google Ads Data'!C358</f>
        <v>0.02245706737</v>
      </c>
      <c r="D358" s="5">
        <f>'Google Ads Data'!D358/'Google Ads Data'!C358</f>
        <v>1.512628798</v>
      </c>
      <c r="E358" s="5">
        <f>'Google Ads Data'!F358/'Google Ads Data'!E358</f>
        <v>184.5923529</v>
      </c>
      <c r="F358" s="7">
        <f>'Google Ads Data'!F358/'Google Ads Data'!D358</f>
        <v>2.740528881</v>
      </c>
      <c r="G358" s="5">
        <f>'Google Ads Data'!D358/'Google Ads Data'!E358</f>
        <v>67.35647059</v>
      </c>
      <c r="H358" s="5">
        <f>('Google Ads Data'!D358/'Google Ads Data'!B358)*1000</f>
        <v>16.15696124</v>
      </c>
    </row>
    <row r="359" ht="15.75" customHeight="1">
      <c r="A359" s="3">
        <v>45284.0</v>
      </c>
      <c r="B359" s="6">
        <f>'Google Ads Data'!C359/'Google Ads Data'!B359</f>
        <v>0.02159136345</v>
      </c>
      <c r="C359" s="6">
        <f>'Google Ads Data'!E359/'Google Ads Data'!C359</f>
        <v>0.01793981481</v>
      </c>
      <c r="D359" s="5">
        <f>'Google Ads Data'!D359/'Google Ads Data'!C359</f>
        <v>1.310520833</v>
      </c>
      <c r="E359" s="5">
        <f>'Google Ads Data'!F359/'Google Ads Data'!E359</f>
        <v>135.5625806</v>
      </c>
      <c r="F359" s="7">
        <f>'Google Ads Data'!F359/'Google Ads Data'!D359</f>
        <v>1.855726007</v>
      </c>
      <c r="G359" s="5">
        <f>'Google Ads Data'!D359/'Google Ads Data'!E359</f>
        <v>73.05096774</v>
      </c>
      <c r="H359" s="5">
        <f>('Google Ads Data'!D359/'Google Ads Data'!B359)*1000</f>
        <v>28.29593163</v>
      </c>
    </row>
    <row r="360" ht="15.75" customHeight="1">
      <c r="A360" s="3">
        <v>45285.0</v>
      </c>
      <c r="B360" s="6">
        <f>'Google Ads Data'!C360/'Google Ads Data'!B360</f>
        <v>0.01209199835</v>
      </c>
      <c r="C360" s="6">
        <f>'Google Ads Data'!E360/'Google Ads Data'!C360</f>
        <v>0.01746393318</v>
      </c>
      <c r="D360" s="5">
        <f>'Google Ads Data'!D360/'Google Ads Data'!C360</f>
        <v>1.090721336</v>
      </c>
      <c r="E360" s="5">
        <f>'Google Ads Data'!F360/'Google Ads Data'!E360</f>
        <v>127.563913</v>
      </c>
      <c r="F360" s="7">
        <f>'Google Ads Data'!F360/'Google Ads Data'!D360</f>
        <v>2.042471876</v>
      </c>
      <c r="G360" s="5">
        <f>'Google Ads Data'!D360/'Google Ads Data'!E360</f>
        <v>62.45565217</v>
      </c>
      <c r="H360" s="5">
        <f>('Google Ads Data'!D360/'Google Ads Data'!B360)*1000</f>
        <v>13.1890006</v>
      </c>
    </row>
    <row r="361" ht="15.75" customHeight="1">
      <c r="A361" s="3">
        <v>45286.0</v>
      </c>
      <c r="B361" s="6">
        <f>'Google Ads Data'!C361/'Google Ads Data'!B361</f>
        <v>0.01807532435</v>
      </c>
      <c r="C361" s="6">
        <f>'Google Ads Data'!E361/'Google Ads Data'!C361</f>
        <v>0.01393728223</v>
      </c>
      <c r="D361" s="5">
        <f>'Google Ads Data'!D361/'Google Ads Data'!C361</f>
        <v>1.211637631</v>
      </c>
      <c r="E361" s="5">
        <f>'Google Ads Data'!F361/'Google Ads Data'!E361</f>
        <v>181.99</v>
      </c>
      <c r="F361" s="7">
        <f>'Google Ads Data'!F361/'Google Ads Data'!D361</f>
        <v>2.093403117</v>
      </c>
      <c r="G361" s="5">
        <f>'Google Ads Data'!D361/'Google Ads Data'!E361</f>
        <v>86.935</v>
      </c>
      <c r="H361" s="5">
        <f>('Google Ads Data'!D361/'Google Ads Data'!B361)*1000</f>
        <v>21.90074317</v>
      </c>
    </row>
    <row r="362" ht="15.75" customHeight="1">
      <c r="A362" s="3">
        <v>45287.0</v>
      </c>
      <c r="B362" s="6">
        <f>'Google Ads Data'!C362/'Google Ads Data'!B362</f>
        <v>0.02259044057</v>
      </c>
      <c r="C362" s="6">
        <f>'Google Ads Data'!E362/'Google Ads Data'!C362</f>
        <v>0.01348837209</v>
      </c>
      <c r="D362" s="5">
        <f>'Google Ads Data'!D362/'Google Ads Data'!C362</f>
        <v>1.170493023</v>
      </c>
      <c r="E362" s="5">
        <f>'Google Ads Data'!F362/'Google Ads Data'!E362</f>
        <v>159.0931034</v>
      </c>
      <c r="F362" s="7">
        <f>'Google Ads Data'!F362/'Google Ads Data'!D362</f>
        <v>1.833335982</v>
      </c>
      <c r="G362" s="5">
        <f>'Google Ads Data'!D362/'Google Ads Data'!E362</f>
        <v>86.77793103</v>
      </c>
      <c r="H362" s="5">
        <f>('Google Ads Data'!D362/'Google Ads Data'!B362)*1000</f>
        <v>26.44195307</v>
      </c>
    </row>
    <row r="363" ht="15.75" customHeight="1">
      <c r="A363" s="3">
        <v>45288.0</v>
      </c>
      <c r="B363" s="6">
        <f>'Google Ads Data'!C363/'Google Ads Data'!B363</f>
        <v>0.0228919878</v>
      </c>
      <c r="C363" s="6">
        <f>'Google Ads Data'!E363/'Google Ads Data'!C363</f>
        <v>0.01703056769</v>
      </c>
      <c r="D363" s="5">
        <f>'Google Ads Data'!D363/'Google Ads Data'!C363</f>
        <v>1.70058952</v>
      </c>
      <c r="E363" s="5">
        <f>'Google Ads Data'!F363/'Google Ads Data'!E363</f>
        <v>163.4397436</v>
      </c>
      <c r="F363" s="7">
        <f>'Google Ads Data'!F363/'Google Ads Data'!D363</f>
        <v>1.636768652</v>
      </c>
      <c r="G363" s="5">
        <f>'Google Ads Data'!D363/'Google Ads Data'!E363</f>
        <v>99.85512821</v>
      </c>
      <c r="H363" s="5">
        <f>('Google Ads Data'!D363/'Google Ads Data'!B363)*1000</f>
        <v>38.92987454</v>
      </c>
    </row>
    <row r="364" ht="15.75" customHeight="1">
      <c r="A364" s="3">
        <v>45289.0</v>
      </c>
      <c r="B364" s="6">
        <f>'Google Ads Data'!C364/'Google Ads Data'!B364</f>
        <v>0.01788887771</v>
      </c>
      <c r="C364" s="6">
        <f>'Google Ads Data'!E364/'Google Ads Data'!C364</f>
        <v>0.01312089972</v>
      </c>
      <c r="D364" s="5">
        <f>'Google Ads Data'!D364/'Google Ads Data'!C364</f>
        <v>1.090674789</v>
      </c>
      <c r="E364" s="5">
        <f>'Google Ads Data'!F364/'Google Ads Data'!E364</f>
        <v>110.4571429</v>
      </c>
      <c r="F364" s="7">
        <f>'Google Ads Data'!F364/'Google Ads Data'!D364</f>
        <v>1.328807734</v>
      </c>
      <c r="G364" s="5">
        <f>'Google Ads Data'!D364/'Google Ads Data'!E364</f>
        <v>83.125</v>
      </c>
      <c r="H364" s="5">
        <f>('Google Ads Data'!D364/'Google Ads Data'!B364)*1000</f>
        <v>19.51094793</v>
      </c>
    </row>
    <row r="365" ht="15.75" customHeight="1">
      <c r="A365" s="3">
        <v>45290.0</v>
      </c>
      <c r="B365" s="6">
        <f>'Google Ads Data'!C365/'Google Ads Data'!B365</f>
        <v>0.0243744382</v>
      </c>
      <c r="C365" s="6">
        <f>'Google Ads Data'!E365/'Google Ads Data'!C365</f>
        <v>0.0180102916</v>
      </c>
      <c r="D365" s="5">
        <f>'Google Ads Data'!D365/'Google Ads Data'!C365</f>
        <v>1.501569468</v>
      </c>
      <c r="E365" s="5">
        <f>'Google Ads Data'!F365/'Google Ads Data'!E365</f>
        <v>183.8371429</v>
      </c>
      <c r="F365" s="7">
        <f>'Google Ads Data'!F365/'Google Ads Data'!D365</f>
        <v>2.204999914</v>
      </c>
      <c r="G365" s="5">
        <f>'Google Ads Data'!D365/'Google Ads Data'!E365</f>
        <v>83.37285714</v>
      </c>
      <c r="H365" s="5">
        <f>('Google Ads Data'!D365/'Google Ads Data'!B365)*1000</f>
        <v>36.5999122</v>
      </c>
    </row>
    <row r="366" ht="15.75" customHeight="1">
      <c r="A366" s="3">
        <v>45291.0</v>
      </c>
      <c r="B366" s="6">
        <f>'Google Ads Data'!C366/'Google Ads Data'!B366</f>
        <v>0.02458767239</v>
      </c>
      <c r="C366" s="6">
        <f>'Google Ads Data'!E366/'Google Ads Data'!C366</f>
        <v>0.0173992674</v>
      </c>
      <c r="D366" s="5">
        <f>'Google Ads Data'!D366/'Google Ads Data'!C366</f>
        <v>1.110549451</v>
      </c>
      <c r="E366" s="5">
        <f>'Google Ads Data'!F366/'Google Ads Data'!E366</f>
        <v>152.6689474</v>
      </c>
      <c r="F366" s="7">
        <f>'Google Ads Data'!F366/'Google Ads Data'!D366</f>
        <v>2.391904149</v>
      </c>
      <c r="G366" s="5">
        <f>'Google Ads Data'!D366/'Google Ads Data'!E366</f>
        <v>63.82736842</v>
      </c>
      <c r="H366" s="5">
        <f>('Google Ads Data'!D366/'Google Ads Data'!B366)*1000</f>
        <v>27.30582606</v>
      </c>
    </row>
    <row r="367" ht="15.75" customHeight="1">
      <c r="B367" s="6"/>
      <c r="C367" s="6"/>
      <c r="F367" s="7"/>
    </row>
    <row r="368" ht="15.75" customHeight="1">
      <c r="B368" s="6"/>
      <c r="C368" s="6"/>
      <c r="F368" s="7"/>
    </row>
    <row r="369" ht="15.75" customHeight="1">
      <c r="B369" s="6"/>
      <c r="C369" s="6"/>
      <c r="F369" s="7"/>
    </row>
    <row r="370" ht="15.75" customHeight="1">
      <c r="B370" s="6"/>
      <c r="C370" s="6"/>
      <c r="F370" s="7"/>
    </row>
    <row r="371" ht="15.75" customHeight="1">
      <c r="B371" s="6"/>
      <c r="C371" s="6"/>
      <c r="F371" s="7"/>
    </row>
    <row r="372" ht="15.75" customHeight="1">
      <c r="B372" s="6"/>
      <c r="C372" s="6"/>
      <c r="F372" s="7"/>
    </row>
    <row r="373" ht="15.75" customHeight="1">
      <c r="B373" s="6"/>
      <c r="C373" s="6"/>
      <c r="F373" s="7"/>
    </row>
    <row r="374" ht="15.75" customHeight="1">
      <c r="B374" s="6"/>
      <c r="C374" s="6"/>
      <c r="F374" s="7"/>
    </row>
    <row r="375" ht="15.75" customHeight="1">
      <c r="B375" s="6"/>
      <c r="C375" s="6"/>
      <c r="F375" s="7"/>
    </row>
    <row r="376" ht="15.75" customHeight="1">
      <c r="B376" s="6"/>
      <c r="C376" s="6"/>
      <c r="F376" s="7"/>
    </row>
    <row r="377" ht="15.75" customHeight="1">
      <c r="B377" s="6"/>
      <c r="C377" s="6"/>
      <c r="F377" s="7"/>
    </row>
    <row r="378" ht="15.75" customHeight="1">
      <c r="B378" s="6"/>
      <c r="C378" s="6"/>
      <c r="F378" s="7"/>
    </row>
    <row r="379" ht="15.75" customHeight="1">
      <c r="B379" s="6"/>
      <c r="C379" s="6"/>
      <c r="F379" s="7"/>
    </row>
    <row r="380" ht="15.75" customHeight="1">
      <c r="B380" s="6"/>
      <c r="C380" s="6"/>
      <c r="F380" s="7"/>
    </row>
    <row r="381" ht="15.75" customHeight="1">
      <c r="B381" s="6"/>
      <c r="C381" s="6"/>
      <c r="F381" s="7"/>
    </row>
    <row r="382" ht="15.75" customHeight="1">
      <c r="B382" s="6"/>
      <c r="C382" s="6"/>
      <c r="F382" s="7"/>
    </row>
    <row r="383" ht="15.75" customHeight="1">
      <c r="B383" s="6"/>
      <c r="C383" s="6"/>
      <c r="F383" s="7"/>
    </row>
    <row r="384" ht="15.75" customHeight="1">
      <c r="B384" s="6"/>
      <c r="C384" s="6"/>
      <c r="F384" s="7"/>
    </row>
    <row r="385" ht="15.75" customHeight="1">
      <c r="B385" s="6"/>
      <c r="C385" s="6"/>
      <c r="F385" s="7"/>
    </row>
    <row r="386" ht="15.75" customHeight="1">
      <c r="B386" s="6"/>
      <c r="C386" s="6"/>
      <c r="F386" s="7"/>
    </row>
    <row r="387" ht="15.75" customHeight="1">
      <c r="B387" s="6"/>
      <c r="C387" s="6"/>
      <c r="F387" s="7"/>
    </row>
    <row r="388" ht="15.75" customHeight="1">
      <c r="B388" s="6"/>
      <c r="C388" s="6"/>
      <c r="F388" s="7"/>
    </row>
    <row r="389" ht="15.75" customHeight="1">
      <c r="B389" s="6"/>
      <c r="C389" s="6"/>
      <c r="F389" s="7"/>
    </row>
    <row r="390" ht="15.75" customHeight="1">
      <c r="B390" s="6"/>
      <c r="C390" s="6"/>
      <c r="F390" s="7"/>
    </row>
    <row r="391" ht="15.75" customHeight="1">
      <c r="B391" s="6"/>
      <c r="C391" s="6"/>
      <c r="F391" s="7"/>
    </row>
    <row r="392" ht="15.75" customHeight="1">
      <c r="B392" s="6"/>
      <c r="C392" s="6"/>
      <c r="F392" s="7"/>
    </row>
    <row r="393" ht="15.75" customHeight="1">
      <c r="B393" s="6"/>
      <c r="C393" s="6"/>
      <c r="F393" s="7"/>
    </row>
    <row r="394" ht="15.75" customHeight="1">
      <c r="B394" s="6"/>
      <c r="C394" s="6"/>
      <c r="F394" s="7"/>
    </row>
    <row r="395" ht="15.75" customHeight="1">
      <c r="B395" s="6"/>
      <c r="C395" s="6"/>
      <c r="F395" s="7"/>
    </row>
    <row r="396" ht="15.75" customHeight="1">
      <c r="B396" s="6"/>
      <c r="C396" s="6"/>
      <c r="F396" s="7"/>
    </row>
    <row r="397" ht="15.75" customHeight="1">
      <c r="B397" s="6"/>
      <c r="C397" s="6"/>
      <c r="F397" s="7"/>
    </row>
    <row r="398" ht="15.75" customHeight="1">
      <c r="B398" s="6"/>
      <c r="C398" s="6"/>
      <c r="F398" s="7"/>
    </row>
    <row r="399" ht="15.75" customHeight="1">
      <c r="B399" s="6"/>
      <c r="C399" s="6"/>
      <c r="F399" s="7"/>
    </row>
    <row r="400" ht="15.75" customHeight="1">
      <c r="B400" s="6"/>
      <c r="C400" s="6"/>
      <c r="F400" s="7"/>
    </row>
    <row r="401" ht="15.75" customHeight="1">
      <c r="B401" s="6"/>
      <c r="C401" s="6"/>
      <c r="F401" s="7"/>
    </row>
    <row r="402" ht="15.75" customHeight="1">
      <c r="B402" s="6"/>
      <c r="C402" s="6"/>
      <c r="F402" s="7"/>
    </row>
    <row r="403" ht="15.75" customHeight="1">
      <c r="B403" s="6"/>
      <c r="C403" s="6"/>
      <c r="F403" s="7"/>
    </row>
    <row r="404" ht="15.75" customHeight="1">
      <c r="B404" s="6"/>
      <c r="C404" s="6"/>
      <c r="F404" s="7"/>
    </row>
    <row r="405" ht="15.75" customHeight="1">
      <c r="B405" s="6"/>
      <c r="C405" s="6"/>
      <c r="F405" s="7"/>
    </row>
    <row r="406" ht="15.75" customHeight="1">
      <c r="B406" s="6"/>
      <c r="C406" s="6"/>
      <c r="F406" s="7"/>
    </row>
    <row r="407" ht="15.75" customHeight="1">
      <c r="B407" s="6"/>
      <c r="C407" s="6"/>
      <c r="F407" s="7"/>
    </row>
    <row r="408" ht="15.75" customHeight="1">
      <c r="B408" s="6"/>
      <c r="C408" s="6"/>
      <c r="F408" s="7"/>
    </row>
    <row r="409" ht="15.75" customHeight="1">
      <c r="B409" s="6"/>
      <c r="C409" s="6"/>
      <c r="F409" s="7"/>
    </row>
    <row r="410" ht="15.75" customHeight="1">
      <c r="B410" s="6"/>
      <c r="C410" s="6"/>
      <c r="F410" s="7"/>
    </row>
    <row r="411" ht="15.75" customHeight="1">
      <c r="B411" s="6"/>
      <c r="C411" s="6"/>
      <c r="F411" s="7"/>
    </row>
    <row r="412" ht="15.75" customHeight="1">
      <c r="B412" s="6"/>
      <c r="C412" s="6"/>
      <c r="F412" s="7"/>
    </row>
    <row r="413" ht="15.75" customHeight="1">
      <c r="B413" s="6"/>
      <c r="C413" s="6"/>
      <c r="F413" s="7"/>
    </row>
    <row r="414" ht="15.75" customHeight="1">
      <c r="B414" s="6"/>
      <c r="C414" s="6"/>
      <c r="F414" s="7"/>
    </row>
    <row r="415" ht="15.75" customHeight="1">
      <c r="B415" s="6"/>
      <c r="C415" s="6"/>
      <c r="F415" s="7"/>
    </row>
    <row r="416" ht="15.75" customHeight="1">
      <c r="B416" s="6"/>
      <c r="C416" s="6"/>
      <c r="F416" s="7"/>
    </row>
    <row r="417" ht="15.75" customHeight="1">
      <c r="B417" s="6"/>
      <c r="C417" s="6"/>
      <c r="F417" s="7"/>
    </row>
    <row r="418" ht="15.75" customHeight="1">
      <c r="B418" s="6"/>
      <c r="C418" s="6"/>
      <c r="F418" s="7"/>
    </row>
    <row r="419" ht="15.75" customHeight="1">
      <c r="B419" s="6"/>
      <c r="C419" s="6"/>
      <c r="F419" s="7"/>
    </row>
    <row r="420" ht="15.75" customHeight="1">
      <c r="B420" s="6"/>
      <c r="C420" s="6"/>
      <c r="F420" s="7"/>
    </row>
    <row r="421" ht="15.75" customHeight="1">
      <c r="B421" s="6"/>
      <c r="C421" s="6"/>
      <c r="F421" s="7"/>
    </row>
    <row r="422" ht="15.75" customHeight="1">
      <c r="B422" s="6"/>
      <c r="C422" s="6"/>
      <c r="F422" s="7"/>
    </row>
    <row r="423" ht="15.75" customHeight="1">
      <c r="B423" s="6"/>
      <c r="C423" s="6"/>
      <c r="F423" s="7"/>
    </row>
    <row r="424" ht="15.75" customHeight="1">
      <c r="B424" s="6"/>
      <c r="C424" s="6"/>
      <c r="F424" s="7"/>
    </row>
    <row r="425" ht="15.75" customHeight="1">
      <c r="B425" s="6"/>
      <c r="C425" s="6"/>
      <c r="F425" s="7"/>
    </row>
    <row r="426" ht="15.75" customHeight="1">
      <c r="B426" s="6"/>
      <c r="C426" s="6"/>
      <c r="F426" s="7"/>
    </row>
    <row r="427" ht="15.75" customHeight="1">
      <c r="B427" s="6"/>
      <c r="C427" s="6"/>
      <c r="F427" s="7"/>
    </row>
    <row r="428" ht="15.75" customHeight="1">
      <c r="B428" s="6"/>
      <c r="C428" s="6"/>
      <c r="F428" s="7"/>
    </row>
    <row r="429" ht="15.75" customHeight="1">
      <c r="B429" s="6"/>
      <c r="C429" s="6"/>
      <c r="F429" s="7"/>
    </row>
    <row r="430" ht="15.75" customHeight="1">
      <c r="B430" s="6"/>
      <c r="C430" s="6"/>
      <c r="F430" s="7"/>
    </row>
    <row r="431" ht="15.75" customHeight="1">
      <c r="B431" s="6"/>
      <c r="C431" s="6"/>
      <c r="F431" s="7"/>
    </row>
    <row r="432" ht="15.75" customHeight="1">
      <c r="B432" s="6"/>
      <c r="C432" s="6"/>
      <c r="F432" s="7"/>
    </row>
    <row r="433" ht="15.75" customHeight="1">
      <c r="B433" s="6"/>
      <c r="C433" s="6"/>
      <c r="F433" s="7"/>
    </row>
    <row r="434" ht="15.75" customHeight="1">
      <c r="B434" s="6"/>
      <c r="C434" s="6"/>
      <c r="F434" s="7"/>
    </row>
    <row r="435" ht="15.75" customHeight="1">
      <c r="B435" s="6"/>
      <c r="C435" s="6"/>
      <c r="F435" s="7"/>
    </row>
    <row r="436" ht="15.75" customHeight="1">
      <c r="B436" s="6"/>
      <c r="C436" s="6"/>
      <c r="F436" s="7"/>
    </row>
    <row r="437" ht="15.75" customHeight="1">
      <c r="B437" s="6"/>
      <c r="C437" s="6"/>
      <c r="F437" s="7"/>
    </row>
    <row r="438" ht="15.75" customHeight="1">
      <c r="B438" s="6"/>
      <c r="C438" s="6"/>
      <c r="F438" s="7"/>
    </row>
    <row r="439" ht="15.75" customHeight="1">
      <c r="B439" s="6"/>
      <c r="C439" s="6"/>
      <c r="F439" s="7"/>
    </row>
    <row r="440" ht="15.75" customHeight="1">
      <c r="B440" s="6"/>
      <c r="C440" s="6"/>
      <c r="F440" s="7"/>
    </row>
    <row r="441" ht="15.75" customHeight="1">
      <c r="B441" s="6"/>
      <c r="C441" s="6"/>
      <c r="F441" s="7"/>
    </row>
    <row r="442" ht="15.75" customHeight="1">
      <c r="B442" s="6"/>
      <c r="C442" s="6"/>
      <c r="F442" s="7"/>
    </row>
    <row r="443" ht="15.75" customHeight="1">
      <c r="B443" s="6"/>
      <c r="C443" s="6"/>
      <c r="F443" s="7"/>
    </row>
    <row r="444" ht="15.75" customHeight="1">
      <c r="B444" s="6"/>
      <c r="C444" s="6"/>
      <c r="F444" s="7"/>
    </row>
    <row r="445" ht="15.75" customHeight="1">
      <c r="B445" s="6"/>
      <c r="C445" s="6"/>
      <c r="F445" s="7"/>
    </row>
    <row r="446" ht="15.75" customHeight="1">
      <c r="B446" s="6"/>
      <c r="C446" s="6"/>
      <c r="F446" s="7"/>
    </row>
    <row r="447" ht="15.75" customHeight="1">
      <c r="B447" s="6"/>
      <c r="C447" s="6"/>
      <c r="F447" s="7"/>
    </row>
    <row r="448" ht="15.75" customHeight="1">
      <c r="B448" s="6"/>
      <c r="C448" s="6"/>
      <c r="F448" s="7"/>
    </row>
    <row r="449" ht="15.75" customHeight="1">
      <c r="B449" s="6"/>
      <c r="C449" s="6"/>
      <c r="F449" s="7"/>
    </row>
    <row r="450" ht="15.75" customHeight="1">
      <c r="B450" s="6"/>
      <c r="C450" s="6"/>
      <c r="F450" s="7"/>
    </row>
    <row r="451" ht="15.75" customHeight="1">
      <c r="B451" s="6"/>
      <c r="C451" s="6"/>
      <c r="F451" s="7"/>
    </row>
    <row r="452" ht="15.75" customHeight="1">
      <c r="B452" s="6"/>
      <c r="C452" s="6"/>
      <c r="F452" s="7"/>
    </row>
    <row r="453" ht="15.75" customHeight="1">
      <c r="B453" s="6"/>
      <c r="C453" s="6"/>
      <c r="F453" s="7"/>
    </row>
    <row r="454" ht="15.75" customHeight="1">
      <c r="B454" s="6"/>
      <c r="C454" s="6"/>
      <c r="F454" s="7"/>
    </row>
    <row r="455" ht="15.75" customHeight="1">
      <c r="B455" s="6"/>
      <c r="C455" s="6"/>
      <c r="F455" s="7"/>
    </row>
    <row r="456" ht="15.75" customHeight="1">
      <c r="B456" s="6"/>
      <c r="C456" s="6"/>
      <c r="F456" s="7"/>
    </row>
    <row r="457" ht="15.75" customHeight="1">
      <c r="B457" s="6"/>
      <c r="C457" s="6"/>
      <c r="F457" s="7"/>
    </row>
    <row r="458" ht="15.75" customHeight="1">
      <c r="B458" s="6"/>
      <c r="C458" s="6"/>
      <c r="F458" s="7"/>
    </row>
    <row r="459" ht="15.75" customHeight="1">
      <c r="B459" s="6"/>
      <c r="C459" s="6"/>
      <c r="F459" s="7"/>
    </row>
    <row r="460" ht="15.75" customHeight="1">
      <c r="B460" s="6"/>
      <c r="C460" s="6"/>
      <c r="F460" s="7"/>
    </row>
    <row r="461" ht="15.75" customHeight="1">
      <c r="B461" s="6"/>
      <c r="C461" s="6"/>
      <c r="F461" s="7"/>
    </row>
    <row r="462" ht="15.75" customHeight="1">
      <c r="B462" s="6"/>
      <c r="C462" s="6"/>
      <c r="F462" s="7"/>
    </row>
    <row r="463" ht="15.75" customHeight="1">
      <c r="B463" s="6"/>
      <c r="C463" s="6"/>
      <c r="F463" s="7"/>
    </row>
    <row r="464" ht="15.75" customHeight="1">
      <c r="B464" s="6"/>
      <c r="C464" s="6"/>
      <c r="F464" s="7"/>
    </row>
    <row r="465" ht="15.75" customHeight="1">
      <c r="B465" s="6"/>
      <c r="C465" s="6"/>
      <c r="F465" s="7"/>
    </row>
    <row r="466" ht="15.75" customHeight="1">
      <c r="B466" s="6"/>
      <c r="C466" s="6"/>
      <c r="F466" s="7"/>
    </row>
    <row r="467" ht="15.75" customHeight="1">
      <c r="B467" s="6"/>
      <c r="C467" s="6"/>
      <c r="F467" s="7"/>
    </row>
    <row r="468" ht="15.75" customHeight="1">
      <c r="B468" s="6"/>
      <c r="C468" s="6"/>
      <c r="F468" s="7"/>
    </row>
    <row r="469" ht="15.75" customHeight="1">
      <c r="B469" s="6"/>
      <c r="C469" s="6"/>
      <c r="F469" s="7"/>
    </row>
    <row r="470" ht="15.75" customHeight="1">
      <c r="B470" s="6"/>
      <c r="C470" s="6"/>
      <c r="F470" s="7"/>
    </row>
    <row r="471" ht="15.75" customHeight="1">
      <c r="B471" s="6"/>
      <c r="C471" s="6"/>
      <c r="F471" s="7"/>
    </row>
    <row r="472" ht="15.75" customHeight="1">
      <c r="B472" s="6"/>
      <c r="C472" s="6"/>
      <c r="F472" s="7"/>
    </row>
    <row r="473" ht="15.75" customHeight="1">
      <c r="B473" s="6"/>
      <c r="C473" s="6"/>
      <c r="F473" s="7"/>
    </row>
    <row r="474" ht="15.75" customHeight="1">
      <c r="B474" s="6"/>
      <c r="C474" s="6"/>
      <c r="F474" s="7"/>
    </row>
    <row r="475" ht="15.75" customHeight="1">
      <c r="B475" s="6"/>
      <c r="C475" s="6"/>
      <c r="F475" s="7"/>
    </row>
    <row r="476" ht="15.75" customHeight="1">
      <c r="B476" s="6"/>
      <c r="C476" s="6"/>
      <c r="F476" s="7"/>
    </row>
    <row r="477" ht="15.75" customHeight="1">
      <c r="B477" s="6"/>
      <c r="C477" s="6"/>
      <c r="F477" s="7"/>
    </row>
    <row r="478" ht="15.75" customHeight="1">
      <c r="B478" s="6"/>
      <c r="C478" s="6"/>
      <c r="F478" s="7"/>
    </row>
    <row r="479" ht="15.75" customHeight="1">
      <c r="B479" s="6"/>
      <c r="C479" s="6"/>
      <c r="F479" s="7"/>
    </row>
    <row r="480" ht="15.75" customHeight="1">
      <c r="B480" s="6"/>
      <c r="C480" s="6"/>
      <c r="F480" s="7"/>
    </row>
    <row r="481" ht="15.75" customHeight="1">
      <c r="B481" s="6"/>
      <c r="C481" s="6"/>
      <c r="F481" s="7"/>
    </row>
    <row r="482" ht="15.75" customHeight="1">
      <c r="B482" s="6"/>
      <c r="C482" s="6"/>
      <c r="F482" s="7"/>
    </row>
    <row r="483" ht="15.75" customHeight="1">
      <c r="B483" s="6"/>
      <c r="C483" s="6"/>
      <c r="F483" s="7"/>
    </row>
    <row r="484" ht="15.75" customHeight="1">
      <c r="B484" s="6"/>
      <c r="C484" s="6"/>
      <c r="F484" s="7"/>
    </row>
    <row r="485" ht="15.75" customHeight="1">
      <c r="B485" s="6"/>
      <c r="C485" s="6"/>
      <c r="F485" s="7"/>
    </row>
    <row r="486" ht="15.75" customHeight="1">
      <c r="B486" s="6"/>
      <c r="C486" s="6"/>
      <c r="F486" s="7"/>
    </row>
    <row r="487" ht="15.75" customHeight="1">
      <c r="B487" s="6"/>
      <c r="C487" s="6"/>
      <c r="F487" s="7"/>
    </row>
    <row r="488" ht="15.75" customHeight="1">
      <c r="B488" s="6"/>
      <c r="C488" s="6"/>
      <c r="F488" s="7"/>
    </row>
    <row r="489" ht="15.75" customHeight="1">
      <c r="B489" s="6"/>
      <c r="C489" s="6"/>
      <c r="F489" s="7"/>
    </row>
    <row r="490" ht="15.75" customHeight="1">
      <c r="B490" s="6"/>
      <c r="C490" s="6"/>
      <c r="F490" s="7"/>
    </row>
    <row r="491" ht="15.75" customHeight="1">
      <c r="B491" s="6"/>
      <c r="C491" s="6"/>
      <c r="F491" s="7"/>
    </row>
    <row r="492" ht="15.75" customHeight="1">
      <c r="B492" s="6"/>
      <c r="C492" s="6"/>
      <c r="F492" s="7"/>
    </row>
    <row r="493" ht="15.75" customHeight="1">
      <c r="B493" s="6"/>
      <c r="C493" s="6"/>
      <c r="F493" s="7"/>
    </row>
    <row r="494" ht="15.75" customHeight="1">
      <c r="B494" s="6"/>
      <c r="C494" s="6"/>
      <c r="F494" s="7"/>
    </row>
    <row r="495" ht="15.75" customHeight="1">
      <c r="B495" s="6"/>
      <c r="C495" s="6"/>
      <c r="F495" s="7"/>
    </row>
    <row r="496" ht="15.75" customHeight="1">
      <c r="B496" s="6"/>
      <c r="C496" s="6"/>
      <c r="F496" s="7"/>
    </row>
    <row r="497" ht="15.75" customHeight="1">
      <c r="B497" s="6"/>
      <c r="C497" s="6"/>
      <c r="F497" s="7"/>
    </row>
    <row r="498" ht="15.75" customHeight="1">
      <c r="B498" s="6"/>
      <c r="C498" s="6"/>
      <c r="F498" s="7"/>
    </row>
    <row r="499" ht="15.75" customHeight="1">
      <c r="B499" s="6"/>
      <c r="C499" s="6"/>
      <c r="F499" s="7"/>
    </row>
    <row r="500" ht="15.75" customHeight="1">
      <c r="B500" s="6"/>
      <c r="C500" s="6"/>
      <c r="F500" s="7"/>
    </row>
    <row r="501" ht="15.75" customHeight="1">
      <c r="B501" s="6"/>
      <c r="C501" s="6"/>
      <c r="F501" s="7"/>
    </row>
    <row r="502" ht="15.75" customHeight="1">
      <c r="B502" s="6"/>
      <c r="C502" s="6"/>
      <c r="F502" s="7"/>
    </row>
    <row r="503" ht="15.75" customHeight="1">
      <c r="B503" s="6"/>
      <c r="C503" s="6"/>
      <c r="F503" s="7"/>
    </row>
    <row r="504" ht="15.75" customHeight="1">
      <c r="B504" s="6"/>
      <c r="C504" s="6"/>
      <c r="F504" s="7"/>
    </row>
    <row r="505" ht="15.75" customHeight="1">
      <c r="B505" s="6"/>
      <c r="C505" s="6"/>
      <c r="F505" s="7"/>
    </row>
    <row r="506" ht="15.75" customHeight="1">
      <c r="B506" s="6"/>
      <c r="C506" s="6"/>
      <c r="F506" s="7"/>
    </row>
    <row r="507" ht="15.75" customHeight="1">
      <c r="B507" s="6"/>
      <c r="C507" s="6"/>
      <c r="F507" s="7"/>
    </row>
    <row r="508" ht="15.75" customHeight="1">
      <c r="B508" s="6"/>
      <c r="C508" s="6"/>
      <c r="F508" s="7"/>
    </row>
    <row r="509" ht="15.75" customHeight="1">
      <c r="B509" s="6"/>
      <c r="C509" s="6"/>
      <c r="F509" s="7"/>
    </row>
    <row r="510" ht="15.75" customHeight="1">
      <c r="B510" s="6"/>
      <c r="C510" s="6"/>
      <c r="F510" s="7"/>
    </row>
    <row r="511" ht="15.75" customHeight="1">
      <c r="B511" s="6"/>
      <c r="C511" s="6"/>
      <c r="F511" s="7"/>
    </row>
    <row r="512" ht="15.75" customHeight="1">
      <c r="B512" s="6"/>
      <c r="C512" s="6"/>
      <c r="F512" s="7"/>
    </row>
    <row r="513" ht="15.75" customHeight="1">
      <c r="B513" s="6"/>
      <c r="C513" s="6"/>
      <c r="F513" s="7"/>
    </row>
    <row r="514" ht="15.75" customHeight="1">
      <c r="B514" s="6"/>
      <c r="C514" s="6"/>
      <c r="F514" s="7"/>
    </row>
    <row r="515" ht="15.75" customHeight="1">
      <c r="B515" s="6"/>
      <c r="C515" s="6"/>
      <c r="F515" s="7"/>
    </row>
    <row r="516" ht="15.75" customHeight="1">
      <c r="B516" s="6"/>
      <c r="C516" s="6"/>
      <c r="F516" s="7"/>
    </row>
    <row r="517" ht="15.75" customHeight="1">
      <c r="B517" s="6"/>
      <c r="C517" s="6"/>
      <c r="F517" s="7"/>
    </row>
    <row r="518" ht="15.75" customHeight="1">
      <c r="B518" s="6"/>
      <c r="C518" s="6"/>
      <c r="F518" s="7"/>
    </row>
    <row r="519" ht="15.75" customHeight="1">
      <c r="B519" s="6"/>
      <c r="C519" s="6"/>
      <c r="F519" s="7"/>
    </row>
    <row r="520" ht="15.75" customHeight="1">
      <c r="B520" s="6"/>
      <c r="C520" s="6"/>
      <c r="F520" s="7"/>
    </row>
    <row r="521" ht="15.75" customHeight="1">
      <c r="B521" s="6"/>
      <c r="C521" s="6"/>
      <c r="F521" s="7"/>
    </row>
    <row r="522" ht="15.75" customHeight="1">
      <c r="B522" s="6"/>
      <c r="C522" s="6"/>
      <c r="F522" s="7"/>
    </row>
    <row r="523" ht="15.75" customHeight="1">
      <c r="B523" s="6"/>
      <c r="C523" s="6"/>
      <c r="F523" s="7"/>
    </row>
    <row r="524" ht="15.75" customHeight="1">
      <c r="B524" s="6"/>
      <c r="C524" s="6"/>
      <c r="F524" s="7"/>
    </row>
    <row r="525" ht="15.75" customHeight="1">
      <c r="B525" s="6"/>
      <c r="C525" s="6"/>
      <c r="F525" s="7"/>
    </row>
    <row r="526" ht="15.75" customHeight="1">
      <c r="B526" s="6"/>
      <c r="C526" s="6"/>
      <c r="F526" s="7"/>
    </row>
    <row r="527" ht="15.75" customHeight="1">
      <c r="B527" s="6"/>
      <c r="C527" s="6"/>
      <c r="F527" s="7"/>
    </row>
    <row r="528" ht="15.75" customHeight="1">
      <c r="B528" s="6"/>
      <c r="C528" s="6"/>
      <c r="F528" s="7"/>
    </row>
    <row r="529" ht="15.75" customHeight="1">
      <c r="B529" s="6"/>
      <c r="C529" s="6"/>
      <c r="F529" s="7"/>
    </row>
    <row r="530" ht="15.75" customHeight="1">
      <c r="B530" s="6"/>
      <c r="C530" s="6"/>
      <c r="F530" s="7"/>
    </row>
    <row r="531" ht="15.75" customHeight="1">
      <c r="B531" s="6"/>
      <c r="C531" s="6"/>
      <c r="F531" s="7"/>
    </row>
    <row r="532" ht="15.75" customHeight="1">
      <c r="B532" s="6"/>
      <c r="C532" s="6"/>
      <c r="F532" s="7"/>
    </row>
    <row r="533" ht="15.75" customHeight="1">
      <c r="B533" s="6"/>
      <c r="C533" s="6"/>
      <c r="F533" s="7"/>
    </row>
    <row r="534" ht="15.75" customHeight="1">
      <c r="B534" s="6"/>
      <c r="C534" s="6"/>
      <c r="F534" s="7"/>
    </row>
    <row r="535" ht="15.75" customHeight="1">
      <c r="B535" s="6"/>
      <c r="C535" s="6"/>
      <c r="F535" s="7"/>
    </row>
    <row r="536" ht="15.75" customHeight="1">
      <c r="B536" s="6"/>
      <c r="C536" s="6"/>
      <c r="F536" s="7"/>
    </row>
    <row r="537" ht="15.75" customHeight="1">
      <c r="B537" s="6"/>
      <c r="C537" s="6"/>
      <c r="F537" s="7"/>
    </row>
    <row r="538" ht="15.75" customHeight="1">
      <c r="B538" s="6"/>
      <c r="C538" s="6"/>
      <c r="F538" s="7"/>
    </row>
    <row r="539" ht="15.75" customHeight="1">
      <c r="B539" s="6"/>
      <c r="C539" s="6"/>
      <c r="F539" s="7"/>
    </row>
    <row r="540" ht="15.75" customHeight="1">
      <c r="B540" s="6"/>
      <c r="C540" s="6"/>
      <c r="F540" s="7"/>
    </row>
    <row r="541" ht="15.75" customHeight="1">
      <c r="B541" s="6"/>
      <c r="C541" s="6"/>
      <c r="F541" s="7"/>
    </row>
    <row r="542" ht="15.75" customHeight="1">
      <c r="B542" s="6"/>
      <c r="C542" s="6"/>
      <c r="F542" s="7"/>
    </row>
    <row r="543" ht="15.75" customHeight="1">
      <c r="B543" s="6"/>
      <c r="C543" s="6"/>
      <c r="F543" s="7"/>
    </row>
    <row r="544" ht="15.75" customHeight="1">
      <c r="B544" s="6"/>
      <c r="C544" s="6"/>
      <c r="F544" s="7"/>
    </row>
    <row r="545" ht="15.75" customHeight="1">
      <c r="B545" s="6"/>
      <c r="C545" s="6"/>
      <c r="F545" s="7"/>
    </row>
    <row r="546" ht="15.75" customHeight="1">
      <c r="B546" s="6"/>
      <c r="C546" s="6"/>
      <c r="F546" s="7"/>
    </row>
    <row r="547" ht="15.75" customHeight="1">
      <c r="B547" s="6"/>
      <c r="C547" s="6"/>
      <c r="F547" s="7"/>
    </row>
    <row r="548" ht="15.75" customHeight="1">
      <c r="B548" s="6"/>
      <c r="C548" s="6"/>
      <c r="F548" s="7"/>
    </row>
    <row r="549" ht="15.75" customHeight="1">
      <c r="B549" s="6"/>
      <c r="C549" s="6"/>
      <c r="F549" s="7"/>
    </row>
    <row r="550" ht="15.75" customHeight="1">
      <c r="B550" s="6"/>
      <c r="C550" s="6"/>
      <c r="F550" s="7"/>
    </row>
    <row r="551" ht="15.75" customHeight="1">
      <c r="B551" s="6"/>
      <c r="C551" s="6"/>
      <c r="F551" s="7"/>
    </row>
    <row r="552" ht="15.75" customHeight="1">
      <c r="B552" s="6"/>
      <c r="C552" s="6"/>
      <c r="F552" s="7"/>
    </row>
    <row r="553" ht="15.75" customHeight="1">
      <c r="B553" s="6"/>
      <c r="C553" s="6"/>
      <c r="F553" s="7"/>
    </row>
    <row r="554" ht="15.75" customHeight="1">
      <c r="B554" s="6"/>
      <c r="C554" s="6"/>
      <c r="F554" s="7"/>
    </row>
    <row r="555" ht="15.75" customHeight="1">
      <c r="B555" s="6"/>
      <c r="C555" s="6"/>
      <c r="F555" s="7"/>
    </row>
    <row r="556" ht="15.75" customHeight="1">
      <c r="B556" s="6"/>
      <c r="C556" s="6"/>
      <c r="F556" s="7"/>
    </row>
    <row r="557" ht="15.75" customHeight="1">
      <c r="B557" s="6"/>
      <c r="C557" s="6"/>
      <c r="F557" s="7"/>
    </row>
    <row r="558" ht="15.75" customHeight="1">
      <c r="B558" s="6"/>
      <c r="C558" s="6"/>
      <c r="F558" s="7"/>
    </row>
    <row r="559" ht="15.75" customHeight="1">
      <c r="B559" s="6"/>
      <c r="C559" s="6"/>
      <c r="F559" s="7"/>
    </row>
    <row r="560" ht="15.75" customHeight="1">
      <c r="B560" s="6"/>
      <c r="C560" s="6"/>
      <c r="F560" s="7"/>
    </row>
    <row r="561" ht="15.75" customHeight="1">
      <c r="B561" s="6"/>
      <c r="C561" s="6"/>
      <c r="F561" s="7"/>
    </row>
    <row r="562" ht="15.75" customHeight="1">
      <c r="B562" s="6"/>
      <c r="C562" s="6"/>
      <c r="F562" s="7"/>
    </row>
    <row r="563" ht="15.75" customHeight="1">
      <c r="B563" s="6"/>
      <c r="C563" s="6"/>
      <c r="F563" s="7"/>
    </row>
    <row r="564" ht="15.75" customHeight="1">
      <c r="B564" s="6"/>
      <c r="C564" s="6"/>
      <c r="F564" s="7"/>
    </row>
    <row r="565" ht="15.75" customHeight="1">
      <c r="B565" s="6"/>
      <c r="C565" s="6"/>
      <c r="F565" s="7"/>
    </row>
    <row r="566" ht="15.75" customHeight="1">
      <c r="B566" s="6"/>
      <c r="C566" s="6"/>
      <c r="F566" s="7"/>
    </row>
    <row r="567" ht="15.75" customHeight="1">
      <c r="B567" s="6"/>
      <c r="C567" s="6"/>
      <c r="F567" s="7"/>
    </row>
    <row r="568" ht="15.75" customHeight="1">
      <c r="B568" s="6"/>
      <c r="C568" s="6"/>
      <c r="F568" s="7"/>
    </row>
    <row r="569" ht="15.75" customHeight="1">
      <c r="B569" s="6"/>
      <c r="C569" s="6"/>
      <c r="F569" s="7"/>
    </row>
    <row r="570" ht="15.75" customHeight="1">
      <c r="B570" s="6"/>
      <c r="C570" s="6"/>
      <c r="F570" s="7"/>
    </row>
    <row r="571" ht="15.75" customHeight="1">
      <c r="B571" s="6"/>
      <c r="C571" s="6"/>
      <c r="F571" s="7"/>
    </row>
    <row r="572" ht="15.75" customHeight="1">
      <c r="B572" s="6"/>
      <c r="C572" s="6"/>
      <c r="F572" s="7"/>
    </row>
    <row r="573" ht="15.75" customHeight="1">
      <c r="B573" s="6"/>
      <c r="C573" s="6"/>
      <c r="F573" s="7"/>
    </row>
    <row r="574" ht="15.75" customHeight="1">
      <c r="B574" s="6"/>
      <c r="C574" s="6"/>
      <c r="F574" s="7"/>
    </row>
    <row r="575" ht="15.75" customHeight="1">
      <c r="B575" s="6"/>
      <c r="C575" s="6"/>
      <c r="F575" s="7"/>
    </row>
    <row r="576" ht="15.75" customHeight="1">
      <c r="B576" s="6"/>
      <c r="C576" s="6"/>
      <c r="F576" s="7"/>
    </row>
    <row r="577" ht="15.75" customHeight="1">
      <c r="B577" s="6"/>
      <c r="C577" s="6"/>
      <c r="F577" s="7"/>
    </row>
    <row r="578" ht="15.75" customHeight="1">
      <c r="B578" s="6"/>
      <c r="C578" s="6"/>
      <c r="F578" s="7"/>
    </row>
    <row r="579" ht="15.75" customHeight="1">
      <c r="B579" s="6"/>
      <c r="C579" s="6"/>
      <c r="F579" s="7"/>
    </row>
    <row r="580" ht="15.75" customHeight="1">
      <c r="B580" s="6"/>
      <c r="C580" s="6"/>
      <c r="F580" s="7"/>
    </row>
    <row r="581" ht="15.75" customHeight="1">
      <c r="B581" s="6"/>
      <c r="C581" s="6"/>
      <c r="F581" s="7"/>
    </row>
    <row r="582" ht="15.75" customHeight="1">
      <c r="B582" s="6"/>
      <c r="C582" s="6"/>
      <c r="F582" s="7"/>
    </row>
    <row r="583" ht="15.75" customHeight="1">
      <c r="B583" s="6"/>
      <c r="C583" s="6"/>
      <c r="F583" s="7"/>
    </row>
    <row r="584" ht="15.75" customHeight="1">
      <c r="B584" s="6"/>
      <c r="C584" s="6"/>
      <c r="F584" s="7"/>
    </row>
    <row r="585" ht="15.75" customHeight="1">
      <c r="B585" s="6"/>
      <c r="C585" s="6"/>
      <c r="F585" s="7"/>
    </row>
    <row r="586" ht="15.75" customHeight="1">
      <c r="B586" s="6"/>
      <c r="C586" s="6"/>
      <c r="F586" s="7"/>
    </row>
    <row r="587" ht="15.75" customHeight="1">
      <c r="B587" s="6"/>
      <c r="C587" s="6"/>
      <c r="F587" s="7"/>
    </row>
    <row r="588" ht="15.75" customHeight="1">
      <c r="B588" s="6"/>
      <c r="C588" s="6"/>
      <c r="F588" s="7"/>
    </row>
    <row r="589" ht="15.75" customHeight="1">
      <c r="B589" s="6"/>
      <c r="C589" s="6"/>
      <c r="F589" s="7"/>
    </row>
    <row r="590" ht="15.75" customHeight="1">
      <c r="B590" s="6"/>
      <c r="C590" s="6"/>
      <c r="F590" s="7"/>
    </row>
    <row r="591" ht="15.75" customHeight="1">
      <c r="B591" s="6"/>
      <c r="C591" s="6"/>
      <c r="F591" s="7"/>
    </row>
    <row r="592" ht="15.75" customHeight="1">
      <c r="B592" s="6"/>
      <c r="C592" s="6"/>
      <c r="F592" s="7"/>
    </row>
    <row r="593" ht="15.75" customHeight="1">
      <c r="B593" s="6"/>
      <c r="C593" s="6"/>
      <c r="F593" s="7"/>
    </row>
    <row r="594" ht="15.75" customHeight="1">
      <c r="B594" s="6"/>
      <c r="C594" s="6"/>
      <c r="F594" s="7"/>
    </row>
    <row r="595" ht="15.75" customHeight="1">
      <c r="B595" s="6"/>
      <c r="C595" s="6"/>
      <c r="F595" s="7"/>
    </row>
    <row r="596" ht="15.75" customHeight="1">
      <c r="B596" s="6"/>
      <c r="C596" s="6"/>
      <c r="F596" s="7"/>
    </row>
    <row r="597" ht="15.75" customHeight="1">
      <c r="B597" s="6"/>
      <c r="C597" s="6"/>
      <c r="F597" s="7"/>
    </row>
    <row r="598" ht="15.75" customHeight="1">
      <c r="B598" s="6"/>
      <c r="C598" s="6"/>
      <c r="F598" s="7"/>
    </row>
    <row r="599" ht="15.75" customHeight="1">
      <c r="B599" s="6"/>
      <c r="C599" s="6"/>
      <c r="F599" s="7"/>
    </row>
    <row r="600" ht="15.75" customHeight="1">
      <c r="B600" s="6"/>
      <c r="C600" s="6"/>
      <c r="F600" s="7"/>
    </row>
    <row r="601" ht="15.75" customHeight="1">
      <c r="B601" s="6"/>
      <c r="C601" s="6"/>
      <c r="F601" s="7"/>
    </row>
    <row r="602" ht="15.75" customHeight="1">
      <c r="B602" s="6"/>
      <c r="C602" s="6"/>
      <c r="F602" s="7"/>
    </row>
    <row r="603" ht="15.75" customHeight="1">
      <c r="B603" s="6"/>
      <c r="C603" s="6"/>
      <c r="F603" s="7"/>
    </row>
    <row r="604" ht="15.75" customHeight="1">
      <c r="B604" s="6"/>
      <c r="C604" s="6"/>
      <c r="F604" s="7"/>
    </row>
    <row r="605" ht="15.75" customHeight="1">
      <c r="B605" s="6"/>
      <c r="C605" s="6"/>
      <c r="F605" s="7"/>
    </row>
    <row r="606" ht="15.75" customHeight="1">
      <c r="B606" s="6"/>
      <c r="C606" s="6"/>
      <c r="F606" s="7"/>
    </row>
    <row r="607" ht="15.75" customHeight="1">
      <c r="B607" s="6"/>
      <c r="C607" s="6"/>
      <c r="F607" s="7"/>
    </row>
    <row r="608" ht="15.75" customHeight="1">
      <c r="B608" s="6"/>
      <c r="C608" s="6"/>
      <c r="F608" s="7"/>
    </row>
    <row r="609" ht="15.75" customHeight="1">
      <c r="B609" s="6"/>
      <c r="C609" s="6"/>
      <c r="F609" s="7"/>
    </row>
    <row r="610" ht="15.75" customHeight="1">
      <c r="B610" s="6"/>
      <c r="C610" s="6"/>
      <c r="F610" s="7"/>
    </row>
    <row r="611" ht="15.75" customHeight="1">
      <c r="B611" s="6"/>
      <c r="C611" s="6"/>
      <c r="F611" s="7"/>
    </row>
    <row r="612" ht="15.75" customHeight="1">
      <c r="B612" s="6"/>
      <c r="C612" s="6"/>
      <c r="F612" s="7"/>
    </row>
    <row r="613" ht="15.75" customHeight="1">
      <c r="B613" s="6"/>
      <c r="C613" s="6"/>
      <c r="F613" s="7"/>
    </row>
    <row r="614" ht="15.75" customHeight="1">
      <c r="B614" s="6"/>
      <c r="C614" s="6"/>
      <c r="F614" s="7"/>
    </row>
    <row r="615" ht="15.75" customHeight="1">
      <c r="B615" s="6"/>
      <c r="C615" s="6"/>
      <c r="F615" s="7"/>
    </row>
    <row r="616" ht="15.75" customHeight="1">
      <c r="B616" s="6"/>
      <c r="C616" s="6"/>
      <c r="F616" s="7"/>
    </row>
    <row r="617" ht="15.75" customHeight="1">
      <c r="B617" s="6"/>
      <c r="C617" s="6"/>
      <c r="F617" s="7"/>
    </row>
    <row r="618" ht="15.75" customHeight="1">
      <c r="B618" s="6"/>
      <c r="C618" s="6"/>
      <c r="F618" s="7"/>
    </row>
    <row r="619" ht="15.75" customHeight="1">
      <c r="B619" s="6"/>
      <c r="C619" s="6"/>
      <c r="F619" s="7"/>
    </row>
    <row r="620" ht="15.75" customHeight="1">
      <c r="B620" s="6"/>
      <c r="C620" s="6"/>
      <c r="F620" s="7"/>
    </row>
    <row r="621" ht="15.75" customHeight="1">
      <c r="B621" s="6"/>
      <c r="C621" s="6"/>
      <c r="F621" s="7"/>
    </row>
    <row r="622" ht="15.75" customHeight="1">
      <c r="B622" s="6"/>
      <c r="C622" s="6"/>
      <c r="F622" s="7"/>
    </row>
    <row r="623" ht="15.75" customHeight="1">
      <c r="B623" s="6"/>
      <c r="C623" s="6"/>
      <c r="F623" s="7"/>
    </row>
    <row r="624" ht="15.75" customHeight="1">
      <c r="B624" s="6"/>
      <c r="C624" s="6"/>
      <c r="F624" s="7"/>
    </row>
    <row r="625" ht="15.75" customHeight="1">
      <c r="B625" s="6"/>
      <c r="C625" s="6"/>
      <c r="F625" s="7"/>
    </row>
    <row r="626" ht="15.75" customHeight="1">
      <c r="B626" s="6"/>
      <c r="C626" s="6"/>
      <c r="F626" s="7"/>
    </row>
    <row r="627" ht="15.75" customHeight="1">
      <c r="B627" s="6"/>
      <c r="C627" s="6"/>
      <c r="F627" s="7"/>
    </row>
    <row r="628" ht="15.75" customHeight="1">
      <c r="B628" s="6"/>
      <c r="C628" s="6"/>
      <c r="F628" s="7"/>
    </row>
    <row r="629" ht="15.75" customHeight="1">
      <c r="B629" s="6"/>
      <c r="C629" s="6"/>
      <c r="F629" s="7"/>
    </row>
    <row r="630" ht="15.75" customHeight="1">
      <c r="B630" s="6"/>
      <c r="C630" s="6"/>
      <c r="F630" s="7"/>
    </row>
    <row r="631" ht="15.75" customHeight="1">
      <c r="B631" s="6"/>
      <c r="C631" s="6"/>
      <c r="F631" s="7"/>
    </row>
    <row r="632" ht="15.75" customHeight="1">
      <c r="B632" s="6"/>
      <c r="C632" s="6"/>
      <c r="F632" s="7"/>
    </row>
    <row r="633" ht="15.75" customHeight="1">
      <c r="B633" s="6"/>
      <c r="C633" s="6"/>
      <c r="F633" s="7"/>
    </row>
    <row r="634" ht="15.75" customHeight="1">
      <c r="B634" s="6"/>
      <c r="C634" s="6"/>
      <c r="F634" s="7"/>
    </row>
    <row r="635" ht="15.75" customHeight="1">
      <c r="B635" s="6"/>
      <c r="C635" s="6"/>
      <c r="F635" s="7"/>
    </row>
    <row r="636" ht="15.75" customHeight="1">
      <c r="B636" s="6"/>
      <c r="C636" s="6"/>
      <c r="F636" s="7"/>
    </row>
    <row r="637" ht="15.75" customHeight="1">
      <c r="B637" s="6"/>
      <c r="C637" s="6"/>
      <c r="F637" s="7"/>
    </row>
    <row r="638" ht="15.75" customHeight="1">
      <c r="B638" s="6"/>
      <c r="C638" s="6"/>
      <c r="F638" s="7"/>
    </row>
    <row r="639" ht="15.75" customHeight="1">
      <c r="B639" s="6"/>
      <c r="C639" s="6"/>
      <c r="F639" s="7"/>
    </row>
    <row r="640" ht="15.75" customHeight="1">
      <c r="B640" s="6"/>
      <c r="C640" s="6"/>
      <c r="F640" s="7"/>
    </row>
    <row r="641" ht="15.75" customHeight="1">
      <c r="B641" s="6"/>
      <c r="C641" s="6"/>
      <c r="F641" s="7"/>
    </row>
    <row r="642" ht="15.75" customHeight="1">
      <c r="B642" s="6"/>
      <c r="C642" s="6"/>
      <c r="F642" s="7"/>
    </row>
    <row r="643" ht="15.75" customHeight="1">
      <c r="B643" s="6"/>
      <c r="C643" s="6"/>
      <c r="F643" s="7"/>
    </row>
    <row r="644" ht="15.75" customHeight="1">
      <c r="B644" s="6"/>
      <c r="C644" s="6"/>
      <c r="F644" s="7"/>
    </row>
    <row r="645" ht="15.75" customHeight="1">
      <c r="B645" s="6"/>
      <c r="C645" s="6"/>
      <c r="F645" s="7"/>
    </row>
    <row r="646" ht="15.75" customHeight="1">
      <c r="B646" s="6"/>
      <c r="C646" s="6"/>
      <c r="F646" s="7"/>
    </row>
    <row r="647" ht="15.75" customHeight="1">
      <c r="B647" s="6"/>
      <c r="C647" s="6"/>
      <c r="F647" s="7"/>
    </row>
    <row r="648" ht="15.75" customHeight="1">
      <c r="B648" s="6"/>
      <c r="C648" s="6"/>
      <c r="F648" s="7"/>
    </row>
    <row r="649" ht="15.75" customHeight="1">
      <c r="B649" s="6"/>
      <c r="C649" s="6"/>
      <c r="F649" s="7"/>
    </row>
    <row r="650" ht="15.75" customHeight="1">
      <c r="B650" s="6"/>
      <c r="C650" s="6"/>
      <c r="F650" s="7"/>
    </row>
    <row r="651" ht="15.75" customHeight="1">
      <c r="B651" s="6"/>
      <c r="C651" s="6"/>
      <c r="F651" s="7"/>
    </row>
    <row r="652" ht="15.75" customHeight="1">
      <c r="B652" s="6"/>
      <c r="C652" s="6"/>
      <c r="F652" s="7"/>
    </row>
    <row r="653" ht="15.75" customHeight="1">
      <c r="B653" s="6"/>
      <c r="C653" s="6"/>
      <c r="F653" s="7"/>
    </row>
    <row r="654" ht="15.75" customHeight="1">
      <c r="B654" s="6"/>
      <c r="C654" s="6"/>
      <c r="F654" s="7"/>
    </row>
    <row r="655" ht="15.75" customHeight="1">
      <c r="B655" s="6"/>
      <c r="C655" s="6"/>
      <c r="F655" s="7"/>
    </row>
    <row r="656" ht="15.75" customHeight="1">
      <c r="B656" s="6"/>
      <c r="C656" s="6"/>
      <c r="F656" s="7"/>
    </row>
    <row r="657" ht="15.75" customHeight="1">
      <c r="B657" s="6"/>
      <c r="C657" s="6"/>
      <c r="F657" s="7"/>
    </row>
    <row r="658" ht="15.75" customHeight="1">
      <c r="B658" s="6"/>
      <c r="C658" s="6"/>
      <c r="F658" s="7"/>
    </row>
    <row r="659" ht="15.75" customHeight="1">
      <c r="B659" s="6"/>
      <c r="C659" s="6"/>
      <c r="F659" s="7"/>
    </row>
    <row r="660" ht="15.75" customHeight="1">
      <c r="B660" s="6"/>
      <c r="C660" s="6"/>
      <c r="F660" s="7"/>
    </row>
    <row r="661" ht="15.75" customHeight="1">
      <c r="B661" s="6"/>
      <c r="C661" s="6"/>
      <c r="F661" s="7"/>
    </row>
    <row r="662" ht="15.75" customHeight="1">
      <c r="B662" s="6"/>
      <c r="C662" s="6"/>
      <c r="F662" s="7"/>
    </row>
    <row r="663" ht="15.75" customHeight="1">
      <c r="B663" s="6"/>
      <c r="C663" s="6"/>
      <c r="F663" s="7"/>
    </row>
    <row r="664" ht="15.75" customHeight="1">
      <c r="B664" s="6"/>
      <c r="C664" s="6"/>
      <c r="F664" s="7"/>
    </row>
    <row r="665" ht="15.75" customHeight="1">
      <c r="B665" s="6"/>
      <c r="C665" s="6"/>
      <c r="F665" s="7"/>
    </row>
    <row r="666" ht="15.75" customHeight="1">
      <c r="B666" s="6"/>
      <c r="C666" s="6"/>
      <c r="F666" s="7"/>
    </row>
    <row r="667" ht="15.75" customHeight="1">
      <c r="B667" s="6"/>
      <c r="C667" s="6"/>
      <c r="F667" s="7"/>
    </row>
    <row r="668" ht="15.75" customHeight="1">
      <c r="B668" s="6"/>
      <c r="C668" s="6"/>
      <c r="F668" s="7"/>
    </row>
    <row r="669" ht="15.75" customHeight="1">
      <c r="B669" s="6"/>
      <c r="C669" s="6"/>
      <c r="F669" s="7"/>
    </row>
    <row r="670" ht="15.75" customHeight="1">
      <c r="B670" s="6"/>
      <c r="C670" s="6"/>
      <c r="F670" s="7"/>
    </row>
    <row r="671" ht="15.75" customHeight="1">
      <c r="B671" s="6"/>
      <c r="C671" s="6"/>
      <c r="F671" s="7"/>
    </row>
    <row r="672" ht="15.75" customHeight="1">
      <c r="B672" s="6"/>
      <c r="C672" s="6"/>
      <c r="F672" s="7"/>
    </row>
    <row r="673" ht="15.75" customHeight="1">
      <c r="B673" s="6"/>
      <c r="C673" s="6"/>
      <c r="F673" s="7"/>
    </row>
    <row r="674" ht="15.75" customHeight="1">
      <c r="B674" s="6"/>
      <c r="C674" s="6"/>
      <c r="F674" s="7"/>
    </row>
    <row r="675" ht="15.75" customHeight="1">
      <c r="B675" s="6"/>
      <c r="C675" s="6"/>
      <c r="F675" s="7"/>
    </row>
    <row r="676" ht="15.75" customHeight="1">
      <c r="B676" s="6"/>
      <c r="C676" s="6"/>
      <c r="F676" s="7"/>
    </row>
    <row r="677" ht="15.75" customHeight="1">
      <c r="B677" s="6"/>
      <c r="C677" s="6"/>
      <c r="F677" s="7"/>
    </row>
    <row r="678" ht="15.75" customHeight="1">
      <c r="B678" s="6"/>
      <c r="C678" s="6"/>
      <c r="F678" s="7"/>
    </row>
    <row r="679" ht="15.75" customHeight="1">
      <c r="B679" s="6"/>
      <c r="C679" s="6"/>
      <c r="F679" s="7"/>
    </row>
    <row r="680" ht="15.75" customHeight="1">
      <c r="B680" s="6"/>
      <c r="C680" s="6"/>
      <c r="F680" s="7"/>
    </row>
    <row r="681" ht="15.75" customHeight="1">
      <c r="B681" s="6"/>
      <c r="C681" s="6"/>
      <c r="F681" s="7"/>
    </row>
    <row r="682" ht="15.75" customHeight="1">
      <c r="B682" s="6"/>
      <c r="C682" s="6"/>
      <c r="F682" s="7"/>
    </row>
    <row r="683" ht="15.75" customHeight="1">
      <c r="B683" s="6"/>
      <c r="C683" s="6"/>
      <c r="F683" s="7"/>
    </row>
    <row r="684" ht="15.75" customHeight="1">
      <c r="B684" s="6"/>
      <c r="C684" s="6"/>
      <c r="F684" s="7"/>
    </row>
    <row r="685" ht="15.75" customHeight="1">
      <c r="B685" s="6"/>
      <c r="C685" s="6"/>
      <c r="F685" s="7"/>
    </row>
    <row r="686" ht="15.75" customHeight="1">
      <c r="B686" s="6"/>
      <c r="C686" s="6"/>
      <c r="F686" s="7"/>
    </row>
    <row r="687" ht="15.75" customHeight="1">
      <c r="B687" s="6"/>
      <c r="C687" s="6"/>
      <c r="F687" s="7"/>
    </row>
    <row r="688" ht="15.75" customHeight="1">
      <c r="B688" s="6"/>
      <c r="C688" s="6"/>
      <c r="F688" s="7"/>
    </row>
    <row r="689" ht="15.75" customHeight="1">
      <c r="B689" s="6"/>
      <c r="C689" s="6"/>
      <c r="F689" s="7"/>
    </row>
    <row r="690" ht="15.75" customHeight="1">
      <c r="B690" s="6"/>
      <c r="C690" s="6"/>
      <c r="F690" s="7"/>
    </row>
    <row r="691" ht="15.75" customHeight="1">
      <c r="B691" s="6"/>
      <c r="C691" s="6"/>
      <c r="F691" s="7"/>
    </row>
    <row r="692" ht="15.75" customHeight="1">
      <c r="B692" s="6"/>
      <c r="C692" s="6"/>
      <c r="F692" s="7"/>
    </row>
    <row r="693" ht="15.75" customHeight="1">
      <c r="B693" s="6"/>
      <c r="C693" s="6"/>
      <c r="F693" s="7"/>
    </row>
    <row r="694" ht="15.75" customHeight="1">
      <c r="B694" s="6"/>
      <c r="C694" s="6"/>
      <c r="F694" s="7"/>
    </row>
    <row r="695" ht="15.75" customHeight="1">
      <c r="B695" s="6"/>
      <c r="C695" s="6"/>
      <c r="F695" s="7"/>
    </row>
    <row r="696" ht="15.75" customHeight="1">
      <c r="B696" s="6"/>
      <c r="C696" s="6"/>
      <c r="F696" s="7"/>
    </row>
    <row r="697" ht="15.75" customHeight="1">
      <c r="B697" s="6"/>
      <c r="C697" s="6"/>
      <c r="F697" s="7"/>
    </row>
    <row r="698" ht="15.75" customHeight="1">
      <c r="B698" s="6"/>
      <c r="C698" s="6"/>
      <c r="F698" s="7"/>
    </row>
    <row r="699" ht="15.75" customHeight="1">
      <c r="B699" s="6"/>
      <c r="C699" s="6"/>
      <c r="F699" s="7"/>
    </row>
    <row r="700" ht="15.75" customHeight="1">
      <c r="B700" s="6"/>
      <c r="C700" s="6"/>
      <c r="F700" s="7"/>
    </row>
    <row r="701" ht="15.75" customHeight="1">
      <c r="B701" s="6"/>
      <c r="C701" s="6"/>
      <c r="F701" s="7"/>
    </row>
    <row r="702" ht="15.75" customHeight="1">
      <c r="B702" s="6"/>
      <c r="C702" s="6"/>
      <c r="F702" s="7"/>
    </row>
    <row r="703" ht="15.75" customHeight="1">
      <c r="B703" s="6"/>
      <c r="C703" s="6"/>
      <c r="F703" s="7"/>
    </row>
    <row r="704" ht="15.75" customHeight="1">
      <c r="B704" s="6"/>
      <c r="C704" s="6"/>
      <c r="F704" s="7"/>
    </row>
    <row r="705" ht="15.75" customHeight="1">
      <c r="B705" s="6"/>
      <c r="C705" s="6"/>
      <c r="F705" s="7"/>
    </row>
    <row r="706" ht="15.75" customHeight="1">
      <c r="B706" s="6"/>
      <c r="C706" s="6"/>
      <c r="F706" s="7"/>
    </row>
    <row r="707" ht="15.75" customHeight="1">
      <c r="B707" s="6"/>
      <c r="C707" s="6"/>
      <c r="F707" s="7"/>
    </row>
    <row r="708" ht="15.75" customHeight="1">
      <c r="B708" s="6"/>
      <c r="C708" s="6"/>
      <c r="F708" s="7"/>
    </row>
    <row r="709" ht="15.75" customHeight="1">
      <c r="B709" s="6"/>
      <c r="C709" s="6"/>
      <c r="F709" s="7"/>
    </row>
    <row r="710" ht="15.75" customHeight="1">
      <c r="B710" s="6"/>
      <c r="C710" s="6"/>
      <c r="F710" s="7"/>
    </row>
    <row r="711" ht="15.75" customHeight="1">
      <c r="B711" s="6"/>
      <c r="C711" s="6"/>
      <c r="F711" s="7"/>
    </row>
    <row r="712" ht="15.75" customHeight="1">
      <c r="B712" s="6"/>
      <c r="C712" s="6"/>
      <c r="F712" s="7"/>
    </row>
    <row r="713" ht="15.75" customHeight="1">
      <c r="B713" s="6"/>
      <c r="C713" s="6"/>
      <c r="F713" s="7"/>
    </row>
    <row r="714" ht="15.75" customHeight="1">
      <c r="B714" s="6"/>
      <c r="C714" s="6"/>
      <c r="F714" s="7"/>
    </row>
    <row r="715" ht="15.75" customHeight="1">
      <c r="B715" s="6"/>
      <c r="C715" s="6"/>
      <c r="F715" s="7"/>
    </row>
    <row r="716" ht="15.75" customHeight="1">
      <c r="B716" s="6"/>
      <c r="C716" s="6"/>
      <c r="F716" s="7"/>
    </row>
    <row r="717" ht="15.75" customHeight="1">
      <c r="B717" s="6"/>
      <c r="C717" s="6"/>
      <c r="F717" s="7"/>
    </row>
    <row r="718" ht="15.75" customHeight="1">
      <c r="B718" s="6"/>
      <c r="C718" s="6"/>
      <c r="F718" s="7"/>
    </row>
    <row r="719" ht="15.75" customHeight="1">
      <c r="B719" s="6"/>
      <c r="C719" s="6"/>
      <c r="F719" s="7"/>
    </row>
    <row r="720" ht="15.75" customHeight="1">
      <c r="B720" s="6"/>
      <c r="C720" s="6"/>
      <c r="F720" s="7"/>
    </row>
    <row r="721" ht="15.75" customHeight="1">
      <c r="B721" s="6"/>
      <c r="C721" s="6"/>
      <c r="F721" s="7"/>
    </row>
    <row r="722" ht="15.75" customHeight="1">
      <c r="B722" s="6"/>
      <c r="C722" s="6"/>
      <c r="F722" s="7"/>
    </row>
    <row r="723" ht="15.75" customHeight="1">
      <c r="B723" s="6"/>
      <c r="C723" s="6"/>
      <c r="F723" s="7"/>
    </row>
    <row r="724" ht="15.75" customHeight="1">
      <c r="B724" s="6"/>
      <c r="C724" s="6"/>
      <c r="F724" s="7"/>
    </row>
    <row r="725" ht="15.75" customHeight="1">
      <c r="B725" s="6"/>
      <c r="C725" s="6"/>
      <c r="F725" s="7"/>
    </row>
    <row r="726" ht="15.75" customHeight="1">
      <c r="B726" s="6"/>
      <c r="C726" s="6"/>
      <c r="F726" s="7"/>
    </row>
    <row r="727" ht="15.75" customHeight="1">
      <c r="B727" s="6"/>
      <c r="C727" s="6"/>
      <c r="F727" s="7"/>
    </row>
    <row r="728" ht="15.75" customHeight="1">
      <c r="B728" s="6"/>
      <c r="C728" s="6"/>
      <c r="F728" s="7"/>
    </row>
    <row r="729" ht="15.75" customHeight="1">
      <c r="B729" s="6"/>
      <c r="C729" s="6"/>
      <c r="F729" s="7"/>
    </row>
    <row r="730" ht="15.75" customHeight="1">
      <c r="B730" s="6"/>
      <c r="C730" s="6"/>
      <c r="F730" s="7"/>
    </row>
    <row r="731" ht="15.75" customHeight="1">
      <c r="B731" s="6"/>
      <c r="C731" s="6"/>
      <c r="F731" s="7"/>
    </row>
    <row r="732" ht="15.75" customHeight="1">
      <c r="B732" s="6"/>
      <c r="C732" s="6"/>
      <c r="F732" s="7"/>
    </row>
    <row r="733" ht="15.75" customHeight="1">
      <c r="B733" s="6"/>
      <c r="C733" s="6"/>
      <c r="F733" s="7"/>
    </row>
    <row r="734" ht="15.75" customHeight="1">
      <c r="B734" s="6"/>
      <c r="C734" s="6"/>
      <c r="F734" s="7"/>
    </row>
    <row r="735" ht="15.75" customHeight="1">
      <c r="B735" s="6"/>
      <c r="C735" s="6"/>
      <c r="F735" s="7"/>
    </row>
    <row r="736" ht="15.75" customHeight="1">
      <c r="B736" s="6"/>
      <c r="C736" s="6"/>
      <c r="F736" s="7"/>
    </row>
    <row r="737" ht="15.75" customHeight="1">
      <c r="B737" s="6"/>
      <c r="C737" s="6"/>
      <c r="F737" s="7"/>
    </row>
    <row r="738" ht="15.75" customHeight="1">
      <c r="B738" s="6"/>
      <c r="C738" s="6"/>
      <c r="F738" s="7"/>
    </row>
    <row r="739" ht="15.75" customHeight="1">
      <c r="B739" s="6"/>
      <c r="C739" s="6"/>
      <c r="F739" s="7"/>
    </row>
    <row r="740" ht="15.75" customHeight="1">
      <c r="B740" s="6"/>
      <c r="C740" s="6"/>
      <c r="F740" s="7"/>
    </row>
    <row r="741" ht="15.75" customHeight="1">
      <c r="B741" s="6"/>
      <c r="C741" s="6"/>
      <c r="F741" s="7"/>
    </row>
    <row r="742" ht="15.75" customHeight="1">
      <c r="B742" s="6"/>
      <c r="C742" s="6"/>
      <c r="F742" s="7"/>
    </row>
    <row r="743" ht="15.75" customHeight="1">
      <c r="B743" s="6"/>
      <c r="C743" s="6"/>
      <c r="F743" s="7"/>
    </row>
    <row r="744" ht="15.75" customHeight="1">
      <c r="B744" s="6"/>
      <c r="C744" s="6"/>
      <c r="F744" s="7"/>
    </row>
    <row r="745" ht="15.75" customHeight="1">
      <c r="B745" s="6"/>
      <c r="C745" s="6"/>
      <c r="F745" s="7"/>
    </row>
    <row r="746" ht="15.75" customHeight="1">
      <c r="B746" s="6"/>
      <c r="C746" s="6"/>
      <c r="F746" s="7"/>
    </row>
    <row r="747" ht="15.75" customHeight="1">
      <c r="B747" s="6"/>
      <c r="C747" s="6"/>
      <c r="F747" s="7"/>
    </row>
    <row r="748" ht="15.75" customHeight="1">
      <c r="B748" s="6"/>
      <c r="C748" s="6"/>
      <c r="F748" s="7"/>
    </row>
    <row r="749" ht="15.75" customHeight="1">
      <c r="B749" s="6"/>
      <c r="C749" s="6"/>
      <c r="F749" s="7"/>
    </row>
    <row r="750" ht="15.75" customHeight="1">
      <c r="B750" s="6"/>
      <c r="C750" s="6"/>
      <c r="F750" s="7"/>
    </row>
    <row r="751" ht="15.75" customHeight="1">
      <c r="B751" s="6"/>
      <c r="C751" s="6"/>
      <c r="F751" s="7"/>
    </row>
    <row r="752" ht="15.75" customHeight="1">
      <c r="B752" s="6"/>
      <c r="C752" s="6"/>
      <c r="F752" s="7"/>
    </row>
    <row r="753" ht="15.75" customHeight="1">
      <c r="B753" s="6"/>
      <c r="C753" s="6"/>
      <c r="F753" s="7"/>
    </row>
    <row r="754" ht="15.75" customHeight="1">
      <c r="B754" s="6"/>
      <c r="C754" s="6"/>
      <c r="F754" s="7"/>
    </row>
    <row r="755" ht="15.75" customHeight="1">
      <c r="B755" s="6"/>
      <c r="C755" s="6"/>
      <c r="F755" s="7"/>
    </row>
    <row r="756" ht="15.75" customHeight="1">
      <c r="B756" s="6"/>
      <c r="C756" s="6"/>
      <c r="F756" s="7"/>
    </row>
    <row r="757" ht="15.75" customHeight="1">
      <c r="B757" s="6"/>
      <c r="C757" s="6"/>
      <c r="F757" s="7"/>
    </row>
    <row r="758" ht="15.75" customHeight="1">
      <c r="B758" s="6"/>
      <c r="C758" s="6"/>
      <c r="F758" s="7"/>
    </row>
    <row r="759" ht="15.75" customHeight="1">
      <c r="B759" s="6"/>
      <c r="C759" s="6"/>
      <c r="F759" s="7"/>
    </row>
    <row r="760" ht="15.75" customHeight="1">
      <c r="B760" s="6"/>
      <c r="C760" s="6"/>
      <c r="F760" s="7"/>
    </row>
    <row r="761" ht="15.75" customHeight="1">
      <c r="B761" s="6"/>
      <c r="C761" s="6"/>
      <c r="F761" s="7"/>
    </row>
    <row r="762" ht="15.75" customHeight="1">
      <c r="B762" s="6"/>
      <c r="C762" s="6"/>
      <c r="F762" s="7"/>
    </row>
    <row r="763" ht="15.75" customHeight="1">
      <c r="B763" s="6"/>
      <c r="C763" s="6"/>
      <c r="F763" s="7"/>
    </row>
    <row r="764" ht="15.75" customHeight="1">
      <c r="B764" s="6"/>
      <c r="C764" s="6"/>
      <c r="F764" s="7"/>
    </row>
    <row r="765" ht="15.75" customHeight="1">
      <c r="B765" s="6"/>
      <c r="C765" s="6"/>
      <c r="F765" s="7"/>
    </row>
    <row r="766" ht="15.75" customHeight="1">
      <c r="B766" s="6"/>
      <c r="C766" s="6"/>
      <c r="F766" s="7"/>
    </row>
    <row r="767" ht="15.75" customHeight="1">
      <c r="B767" s="6"/>
      <c r="C767" s="6"/>
      <c r="F767" s="7"/>
    </row>
    <row r="768" ht="15.75" customHeight="1">
      <c r="B768" s="6"/>
      <c r="C768" s="6"/>
      <c r="F768" s="7"/>
    </row>
    <row r="769" ht="15.75" customHeight="1">
      <c r="B769" s="6"/>
      <c r="C769" s="6"/>
      <c r="F769" s="7"/>
    </row>
    <row r="770" ht="15.75" customHeight="1">
      <c r="B770" s="6"/>
      <c r="C770" s="6"/>
      <c r="F770" s="7"/>
    </row>
    <row r="771" ht="15.75" customHeight="1">
      <c r="B771" s="6"/>
      <c r="C771" s="6"/>
      <c r="F771" s="7"/>
    </row>
    <row r="772" ht="15.75" customHeight="1">
      <c r="B772" s="6"/>
      <c r="C772" s="6"/>
      <c r="F772" s="7"/>
    </row>
    <row r="773" ht="15.75" customHeight="1">
      <c r="B773" s="6"/>
      <c r="C773" s="6"/>
      <c r="F773" s="7"/>
    </row>
    <row r="774" ht="15.75" customHeight="1">
      <c r="B774" s="6"/>
      <c r="C774" s="6"/>
      <c r="F774" s="7"/>
    </row>
    <row r="775" ht="15.75" customHeight="1">
      <c r="B775" s="6"/>
      <c r="C775" s="6"/>
      <c r="F775" s="7"/>
    </row>
    <row r="776" ht="15.75" customHeight="1">
      <c r="B776" s="6"/>
      <c r="C776" s="6"/>
      <c r="F776" s="7"/>
    </row>
    <row r="777" ht="15.75" customHeight="1">
      <c r="B777" s="6"/>
      <c r="C777" s="6"/>
      <c r="F777" s="7"/>
    </row>
    <row r="778" ht="15.75" customHeight="1">
      <c r="B778" s="6"/>
      <c r="C778" s="6"/>
      <c r="F778" s="7"/>
    </row>
    <row r="779" ht="15.75" customHeight="1">
      <c r="B779" s="6"/>
      <c r="C779" s="6"/>
      <c r="F779" s="7"/>
    </row>
    <row r="780" ht="15.75" customHeight="1">
      <c r="B780" s="6"/>
      <c r="C780" s="6"/>
      <c r="F780" s="7"/>
    </row>
    <row r="781" ht="15.75" customHeight="1">
      <c r="B781" s="6"/>
      <c r="C781" s="6"/>
      <c r="F781" s="7"/>
    </row>
    <row r="782" ht="15.75" customHeight="1">
      <c r="B782" s="6"/>
      <c r="C782" s="6"/>
      <c r="F782" s="7"/>
    </row>
    <row r="783" ht="15.75" customHeight="1">
      <c r="B783" s="6"/>
      <c r="C783" s="6"/>
      <c r="F783" s="7"/>
    </row>
    <row r="784" ht="15.75" customHeight="1">
      <c r="B784" s="6"/>
      <c r="C784" s="6"/>
      <c r="F784" s="7"/>
    </row>
    <row r="785" ht="15.75" customHeight="1">
      <c r="B785" s="6"/>
      <c r="C785" s="6"/>
      <c r="F785" s="7"/>
    </row>
    <row r="786" ht="15.75" customHeight="1">
      <c r="B786" s="6"/>
      <c r="C786" s="6"/>
      <c r="F786" s="7"/>
    </row>
    <row r="787" ht="15.75" customHeight="1">
      <c r="B787" s="6"/>
      <c r="C787" s="6"/>
      <c r="F787" s="7"/>
    </row>
    <row r="788" ht="15.75" customHeight="1">
      <c r="B788" s="6"/>
      <c r="C788" s="6"/>
      <c r="F788" s="7"/>
    </row>
    <row r="789" ht="15.75" customHeight="1">
      <c r="B789" s="6"/>
      <c r="C789" s="6"/>
      <c r="F789" s="7"/>
    </row>
    <row r="790" ht="15.75" customHeight="1">
      <c r="B790" s="6"/>
      <c r="C790" s="6"/>
      <c r="F790" s="7"/>
    </row>
    <row r="791" ht="15.75" customHeight="1">
      <c r="B791" s="6"/>
      <c r="C791" s="6"/>
      <c r="F791" s="7"/>
    </row>
    <row r="792" ht="15.75" customHeight="1">
      <c r="B792" s="6"/>
      <c r="C792" s="6"/>
      <c r="F792" s="7"/>
    </row>
    <row r="793" ht="15.75" customHeight="1">
      <c r="B793" s="6"/>
      <c r="C793" s="6"/>
      <c r="F793" s="7"/>
    </row>
    <row r="794" ht="15.75" customHeight="1">
      <c r="B794" s="6"/>
      <c r="C794" s="6"/>
      <c r="F794" s="7"/>
    </row>
    <row r="795" ht="15.75" customHeight="1">
      <c r="B795" s="6"/>
      <c r="C795" s="6"/>
      <c r="F795" s="7"/>
    </row>
    <row r="796" ht="15.75" customHeight="1">
      <c r="B796" s="6"/>
      <c r="C796" s="6"/>
      <c r="F796" s="7"/>
    </row>
    <row r="797" ht="15.75" customHeight="1">
      <c r="B797" s="6"/>
      <c r="C797" s="6"/>
      <c r="F797" s="7"/>
    </row>
    <row r="798" ht="15.75" customHeight="1">
      <c r="B798" s="6"/>
      <c r="C798" s="6"/>
      <c r="F798" s="7"/>
    </row>
    <row r="799" ht="15.75" customHeight="1">
      <c r="B799" s="6"/>
      <c r="C799" s="6"/>
      <c r="F799" s="7"/>
    </row>
    <row r="800" ht="15.75" customHeight="1">
      <c r="B800" s="6"/>
      <c r="C800" s="6"/>
      <c r="F800" s="7"/>
    </row>
    <row r="801" ht="15.75" customHeight="1">
      <c r="B801" s="6"/>
      <c r="C801" s="6"/>
      <c r="F801" s="7"/>
    </row>
    <row r="802" ht="15.75" customHeight="1">
      <c r="B802" s="6"/>
      <c r="C802" s="6"/>
      <c r="F802" s="7"/>
    </row>
    <row r="803" ht="15.75" customHeight="1">
      <c r="B803" s="6"/>
      <c r="C803" s="6"/>
      <c r="F803" s="7"/>
    </row>
    <row r="804" ht="15.75" customHeight="1">
      <c r="B804" s="6"/>
      <c r="C804" s="6"/>
      <c r="F804" s="7"/>
    </row>
    <row r="805" ht="15.75" customHeight="1">
      <c r="B805" s="6"/>
      <c r="C805" s="6"/>
      <c r="F805" s="7"/>
    </row>
    <row r="806" ht="15.75" customHeight="1">
      <c r="B806" s="6"/>
      <c r="C806" s="6"/>
      <c r="F806" s="7"/>
    </row>
    <row r="807" ht="15.75" customHeight="1">
      <c r="B807" s="6"/>
      <c r="C807" s="6"/>
      <c r="F807" s="7"/>
    </row>
    <row r="808" ht="15.75" customHeight="1">
      <c r="B808" s="6"/>
      <c r="C808" s="6"/>
      <c r="F808" s="7"/>
    </row>
    <row r="809" ht="15.75" customHeight="1">
      <c r="B809" s="6"/>
      <c r="C809" s="6"/>
      <c r="F809" s="7"/>
    </row>
    <row r="810" ht="15.75" customHeight="1">
      <c r="B810" s="6"/>
      <c r="C810" s="6"/>
      <c r="F810" s="7"/>
    </row>
    <row r="811" ht="15.75" customHeight="1">
      <c r="B811" s="6"/>
      <c r="C811" s="6"/>
      <c r="F811" s="7"/>
    </row>
    <row r="812" ht="15.75" customHeight="1">
      <c r="B812" s="6"/>
      <c r="C812" s="6"/>
      <c r="F812" s="7"/>
    </row>
    <row r="813" ht="15.75" customHeight="1">
      <c r="B813" s="6"/>
      <c r="C813" s="6"/>
      <c r="F813" s="7"/>
    </row>
    <row r="814" ht="15.75" customHeight="1">
      <c r="B814" s="6"/>
      <c r="C814" s="6"/>
      <c r="F814" s="7"/>
    </row>
    <row r="815" ht="15.75" customHeight="1">
      <c r="B815" s="6"/>
      <c r="C815" s="6"/>
      <c r="F815" s="7"/>
    </row>
    <row r="816" ht="15.75" customHeight="1">
      <c r="B816" s="6"/>
      <c r="C816" s="6"/>
      <c r="F816" s="7"/>
    </row>
    <row r="817" ht="15.75" customHeight="1">
      <c r="B817" s="6"/>
      <c r="C817" s="6"/>
      <c r="F817" s="7"/>
    </row>
    <row r="818" ht="15.75" customHeight="1">
      <c r="B818" s="6"/>
      <c r="C818" s="6"/>
      <c r="F818" s="7"/>
    </row>
    <row r="819" ht="15.75" customHeight="1">
      <c r="B819" s="6"/>
      <c r="C819" s="6"/>
      <c r="F819" s="7"/>
    </row>
    <row r="820" ht="15.75" customHeight="1">
      <c r="B820" s="6"/>
      <c r="C820" s="6"/>
      <c r="F820" s="7"/>
    </row>
    <row r="821" ht="15.75" customHeight="1">
      <c r="B821" s="6"/>
      <c r="C821" s="6"/>
      <c r="F821" s="7"/>
    </row>
    <row r="822" ht="15.75" customHeight="1">
      <c r="B822" s="6"/>
      <c r="C822" s="6"/>
      <c r="F822" s="7"/>
    </row>
    <row r="823" ht="15.75" customHeight="1">
      <c r="B823" s="6"/>
      <c r="C823" s="6"/>
      <c r="F823" s="7"/>
    </row>
    <row r="824" ht="15.75" customHeight="1">
      <c r="B824" s="6"/>
      <c r="C824" s="6"/>
      <c r="F824" s="7"/>
    </row>
    <row r="825" ht="15.75" customHeight="1">
      <c r="B825" s="6"/>
      <c r="C825" s="6"/>
      <c r="F825" s="7"/>
    </row>
    <row r="826" ht="15.75" customHeight="1">
      <c r="B826" s="6"/>
      <c r="C826" s="6"/>
      <c r="F826" s="7"/>
    </row>
    <row r="827" ht="15.75" customHeight="1">
      <c r="B827" s="6"/>
      <c r="C827" s="6"/>
      <c r="F827" s="7"/>
    </row>
    <row r="828" ht="15.75" customHeight="1">
      <c r="B828" s="6"/>
      <c r="C828" s="6"/>
      <c r="F828" s="7"/>
    </row>
    <row r="829" ht="15.75" customHeight="1">
      <c r="B829" s="6"/>
      <c r="C829" s="6"/>
      <c r="F829" s="7"/>
    </row>
    <row r="830" ht="15.75" customHeight="1">
      <c r="B830" s="6"/>
      <c r="C830" s="6"/>
      <c r="F830" s="7"/>
    </row>
    <row r="831" ht="15.75" customHeight="1">
      <c r="B831" s="6"/>
      <c r="C831" s="6"/>
      <c r="F831" s="7"/>
    </row>
    <row r="832" ht="15.75" customHeight="1">
      <c r="B832" s="6"/>
      <c r="C832" s="6"/>
      <c r="F832" s="7"/>
    </row>
    <row r="833" ht="15.75" customHeight="1">
      <c r="B833" s="6"/>
      <c r="C833" s="6"/>
      <c r="F833" s="7"/>
    </row>
    <row r="834" ht="15.75" customHeight="1">
      <c r="B834" s="6"/>
      <c r="C834" s="6"/>
      <c r="F834" s="7"/>
    </row>
    <row r="835" ht="15.75" customHeight="1">
      <c r="B835" s="6"/>
      <c r="C835" s="6"/>
      <c r="F835" s="7"/>
    </row>
    <row r="836" ht="15.75" customHeight="1">
      <c r="B836" s="6"/>
      <c r="C836" s="6"/>
      <c r="F836" s="7"/>
    </row>
    <row r="837" ht="15.75" customHeight="1">
      <c r="B837" s="6"/>
      <c r="C837" s="6"/>
      <c r="F837" s="7"/>
    </row>
    <row r="838" ht="15.75" customHeight="1">
      <c r="B838" s="6"/>
      <c r="C838" s="6"/>
      <c r="F838" s="7"/>
    </row>
    <row r="839" ht="15.75" customHeight="1">
      <c r="B839" s="6"/>
      <c r="C839" s="6"/>
      <c r="F839" s="7"/>
    </row>
    <row r="840" ht="15.75" customHeight="1">
      <c r="B840" s="6"/>
      <c r="C840" s="6"/>
      <c r="F840" s="7"/>
    </row>
    <row r="841" ht="15.75" customHeight="1">
      <c r="B841" s="6"/>
      <c r="C841" s="6"/>
      <c r="F841" s="7"/>
    </row>
    <row r="842" ht="15.75" customHeight="1">
      <c r="B842" s="6"/>
      <c r="C842" s="6"/>
      <c r="F842" s="7"/>
    </row>
    <row r="843" ht="15.75" customHeight="1">
      <c r="B843" s="6"/>
      <c r="C843" s="6"/>
      <c r="F843" s="7"/>
    </row>
    <row r="844" ht="15.75" customHeight="1">
      <c r="B844" s="6"/>
      <c r="C844" s="6"/>
      <c r="F844" s="7"/>
    </row>
    <row r="845" ht="15.75" customHeight="1">
      <c r="B845" s="6"/>
      <c r="C845" s="6"/>
      <c r="F845" s="7"/>
    </row>
    <row r="846" ht="15.75" customHeight="1">
      <c r="B846" s="6"/>
      <c r="C846" s="6"/>
      <c r="F846" s="7"/>
    </row>
    <row r="847" ht="15.75" customHeight="1">
      <c r="B847" s="6"/>
      <c r="C847" s="6"/>
      <c r="F847" s="7"/>
    </row>
    <row r="848" ht="15.75" customHeight="1">
      <c r="B848" s="6"/>
      <c r="C848" s="6"/>
      <c r="F848" s="7"/>
    </row>
    <row r="849" ht="15.75" customHeight="1">
      <c r="B849" s="6"/>
      <c r="C849" s="6"/>
      <c r="F849" s="7"/>
    </row>
    <row r="850" ht="15.75" customHeight="1">
      <c r="B850" s="6"/>
      <c r="C850" s="6"/>
      <c r="F850" s="7"/>
    </row>
    <row r="851" ht="15.75" customHeight="1">
      <c r="B851" s="6"/>
      <c r="C851" s="6"/>
      <c r="F851" s="7"/>
    </row>
    <row r="852" ht="15.75" customHeight="1">
      <c r="B852" s="6"/>
      <c r="C852" s="6"/>
      <c r="F852" s="7"/>
    </row>
    <row r="853" ht="15.75" customHeight="1">
      <c r="B853" s="6"/>
      <c r="C853" s="6"/>
      <c r="F853" s="7"/>
    </row>
    <row r="854" ht="15.75" customHeight="1">
      <c r="B854" s="6"/>
      <c r="C854" s="6"/>
      <c r="F854" s="7"/>
    </row>
    <row r="855" ht="15.75" customHeight="1">
      <c r="B855" s="6"/>
      <c r="C855" s="6"/>
      <c r="F855" s="7"/>
    </row>
    <row r="856" ht="15.75" customHeight="1">
      <c r="B856" s="6"/>
      <c r="C856" s="6"/>
      <c r="F856" s="7"/>
    </row>
    <row r="857" ht="15.75" customHeight="1">
      <c r="B857" s="6"/>
      <c r="C857" s="6"/>
      <c r="F857" s="7"/>
    </row>
    <row r="858" ht="15.75" customHeight="1">
      <c r="B858" s="6"/>
      <c r="C858" s="6"/>
      <c r="F858" s="7"/>
    </row>
    <row r="859" ht="15.75" customHeight="1">
      <c r="B859" s="6"/>
      <c r="C859" s="6"/>
      <c r="F859" s="7"/>
    </row>
    <row r="860" ht="15.75" customHeight="1">
      <c r="B860" s="6"/>
      <c r="C860" s="6"/>
      <c r="F860" s="7"/>
    </row>
    <row r="861" ht="15.75" customHeight="1">
      <c r="B861" s="6"/>
      <c r="C861" s="6"/>
      <c r="F861" s="7"/>
    </row>
    <row r="862" ht="15.75" customHeight="1">
      <c r="B862" s="6"/>
      <c r="C862" s="6"/>
      <c r="F862" s="7"/>
    </row>
    <row r="863" ht="15.75" customHeight="1">
      <c r="B863" s="6"/>
      <c r="C863" s="6"/>
      <c r="F863" s="7"/>
    </row>
    <row r="864" ht="15.75" customHeight="1">
      <c r="B864" s="6"/>
      <c r="C864" s="6"/>
      <c r="F864" s="7"/>
    </row>
    <row r="865" ht="15.75" customHeight="1">
      <c r="B865" s="6"/>
      <c r="C865" s="6"/>
      <c r="F865" s="7"/>
    </row>
    <row r="866" ht="15.75" customHeight="1">
      <c r="B866" s="6"/>
      <c r="C866" s="6"/>
      <c r="F866" s="7"/>
    </row>
    <row r="867" ht="15.75" customHeight="1">
      <c r="B867" s="6"/>
      <c r="C867" s="6"/>
      <c r="F867" s="7"/>
    </row>
    <row r="868" ht="15.75" customHeight="1">
      <c r="B868" s="6"/>
      <c r="C868" s="6"/>
      <c r="F868" s="7"/>
    </row>
    <row r="869" ht="15.75" customHeight="1">
      <c r="B869" s="6"/>
      <c r="C869" s="6"/>
      <c r="F869" s="7"/>
    </row>
    <row r="870" ht="15.75" customHeight="1">
      <c r="B870" s="6"/>
      <c r="C870" s="6"/>
      <c r="F870" s="7"/>
    </row>
    <row r="871" ht="15.75" customHeight="1">
      <c r="B871" s="6"/>
      <c r="C871" s="6"/>
      <c r="F871" s="7"/>
    </row>
    <row r="872" ht="15.75" customHeight="1">
      <c r="B872" s="6"/>
      <c r="C872" s="6"/>
      <c r="F872" s="7"/>
    </row>
    <row r="873" ht="15.75" customHeight="1">
      <c r="B873" s="6"/>
      <c r="C873" s="6"/>
      <c r="F873" s="7"/>
    </row>
    <row r="874" ht="15.75" customHeight="1">
      <c r="B874" s="6"/>
      <c r="C874" s="6"/>
      <c r="F874" s="7"/>
    </row>
    <row r="875" ht="15.75" customHeight="1">
      <c r="B875" s="6"/>
      <c r="C875" s="6"/>
      <c r="F875" s="7"/>
    </row>
    <row r="876" ht="15.75" customHeight="1">
      <c r="B876" s="6"/>
      <c r="C876" s="6"/>
      <c r="F876" s="7"/>
    </row>
    <row r="877" ht="15.75" customHeight="1">
      <c r="B877" s="6"/>
      <c r="C877" s="6"/>
      <c r="F877" s="7"/>
    </row>
    <row r="878" ht="15.75" customHeight="1">
      <c r="B878" s="6"/>
      <c r="C878" s="6"/>
      <c r="F878" s="7"/>
    </row>
    <row r="879" ht="15.75" customHeight="1">
      <c r="B879" s="6"/>
      <c r="C879" s="6"/>
      <c r="F879" s="7"/>
    </row>
    <row r="880" ht="15.75" customHeight="1">
      <c r="B880" s="6"/>
      <c r="C880" s="6"/>
      <c r="F880" s="7"/>
    </row>
    <row r="881" ht="15.75" customHeight="1">
      <c r="B881" s="6"/>
      <c r="C881" s="6"/>
      <c r="F881" s="7"/>
    </row>
    <row r="882" ht="15.75" customHeight="1">
      <c r="B882" s="6"/>
      <c r="C882" s="6"/>
      <c r="F882" s="7"/>
    </row>
    <row r="883" ht="15.75" customHeight="1">
      <c r="B883" s="6"/>
      <c r="C883" s="6"/>
      <c r="F883" s="7"/>
    </row>
    <row r="884" ht="15.75" customHeight="1">
      <c r="B884" s="6"/>
      <c r="C884" s="6"/>
      <c r="F884" s="7"/>
    </row>
    <row r="885" ht="15.75" customHeight="1">
      <c r="B885" s="6"/>
      <c r="C885" s="6"/>
      <c r="F885" s="7"/>
    </row>
    <row r="886" ht="15.75" customHeight="1">
      <c r="B886" s="6"/>
      <c r="C886" s="6"/>
      <c r="F886" s="7"/>
    </row>
    <row r="887" ht="15.75" customHeight="1">
      <c r="B887" s="6"/>
      <c r="C887" s="6"/>
      <c r="F887" s="7"/>
    </row>
    <row r="888" ht="15.75" customHeight="1">
      <c r="B888" s="6"/>
      <c r="C888" s="6"/>
      <c r="F888" s="7"/>
    </row>
    <row r="889" ht="15.75" customHeight="1">
      <c r="B889" s="6"/>
      <c r="C889" s="6"/>
      <c r="F889" s="7"/>
    </row>
    <row r="890" ht="15.75" customHeight="1">
      <c r="B890" s="6"/>
      <c r="C890" s="6"/>
      <c r="F890" s="7"/>
    </row>
    <row r="891" ht="15.75" customHeight="1">
      <c r="B891" s="6"/>
      <c r="C891" s="6"/>
      <c r="F891" s="7"/>
    </row>
    <row r="892" ht="15.75" customHeight="1">
      <c r="B892" s="6"/>
      <c r="C892" s="6"/>
      <c r="F892" s="7"/>
    </row>
    <row r="893" ht="15.75" customHeight="1">
      <c r="B893" s="6"/>
      <c r="C893" s="6"/>
      <c r="F893" s="7"/>
    </row>
    <row r="894" ht="15.75" customHeight="1">
      <c r="B894" s="6"/>
      <c r="C894" s="6"/>
      <c r="F894" s="7"/>
    </row>
    <row r="895" ht="15.75" customHeight="1">
      <c r="B895" s="6"/>
      <c r="C895" s="6"/>
      <c r="F895" s="7"/>
    </row>
    <row r="896" ht="15.75" customHeight="1">
      <c r="B896" s="6"/>
      <c r="C896" s="6"/>
      <c r="F896" s="7"/>
    </row>
    <row r="897" ht="15.75" customHeight="1">
      <c r="B897" s="6"/>
      <c r="C897" s="6"/>
      <c r="F897" s="7"/>
    </row>
    <row r="898" ht="15.75" customHeight="1">
      <c r="B898" s="6"/>
      <c r="C898" s="6"/>
      <c r="F898" s="7"/>
    </row>
    <row r="899" ht="15.75" customHeight="1">
      <c r="B899" s="6"/>
      <c r="C899" s="6"/>
      <c r="F899" s="7"/>
    </row>
    <row r="900" ht="15.75" customHeight="1">
      <c r="B900" s="6"/>
      <c r="C900" s="6"/>
      <c r="F900" s="7"/>
    </row>
    <row r="901" ht="15.75" customHeight="1">
      <c r="B901" s="6"/>
      <c r="C901" s="6"/>
      <c r="F901" s="7"/>
    </row>
    <row r="902" ht="15.75" customHeight="1">
      <c r="B902" s="6"/>
      <c r="C902" s="6"/>
      <c r="F902" s="7"/>
    </row>
    <row r="903" ht="15.75" customHeight="1">
      <c r="B903" s="6"/>
      <c r="C903" s="6"/>
      <c r="F903" s="7"/>
    </row>
    <row r="904" ht="15.75" customHeight="1">
      <c r="B904" s="6"/>
      <c r="C904" s="6"/>
      <c r="F904" s="7"/>
    </row>
    <row r="905" ht="15.75" customHeight="1">
      <c r="B905" s="6"/>
      <c r="C905" s="6"/>
      <c r="F905" s="7"/>
    </row>
    <row r="906" ht="15.75" customHeight="1">
      <c r="B906" s="6"/>
      <c r="C906" s="6"/>
      <c r="F906" s="7"/>
    </row>
    <row r="907" ht="15.75" customHeight="1">
      <c r="B907" s="6"/>
      <c r="C907" s="6"/>
      <c r="F907" s="7"/>
    </row>
    <row r="908" ht="15.75" customHeight="1">
      <c r="B908" s="6"/>
      <c r="C908" s="6"/>
      <c r="F908" s="7"/>
    </row>
    <row r="909" ht="15.75" customHeight="1">
      <c r="B909" s="6"/>
      <c r="C909" s="6"/>
      <c r="F909" s="7"/>
    </row>
    <row r="910" ht="15.75" customHeight="1">
      <c r="B910" s="6"/>
      <c r="C910" s="6"/>
      <c r="F910" s="7"/>
    </row>
    <row r="911" ht="15.75" customHeight="1">
      <c r="B911" s="6"/>
      <c r="C911" s="6"/>
      <c r="F911" s="7"/>
    </row>
    <row r="912" ht="15.75" customHeight="1">
      <c r="B912" s="6"/>
      <c r="C912" s="6"/>
      <c r="F912" s="7"/>
    </row>
    <row r="913" ht="15.75" customHeight="1">
      <c r="B913" s="6"/>
      <c r="C913" s="6"/>
      <c r="F913" s="7"/>
    </row>
    <row r="914" ht="15.75" customHeight="1">
      <c r="B914" s="6"/>
      <c r="C914" s="6"/>
      <c r="F914" s="7"/>
    </row>
    <row r="915" ht="15.75" customHeight="1">
      <c r="B915" s="6"/>
      <c r="C915" s="6"/>
      <c r="F915" s="7"/>
    </row>
    <row r="916" ht="15.75" customHeight="1">
      <c r="B916" s="6"/>
      <c r="C916" s="6"/>
      <c r="F916" s="7"/>
    </row>
    <row r="917" ht="15.75" customHeight="1">
      <c r="B917" s="6"/>
      <c r="C917" s="6"/>
      <c r="F917" s="7"/>
    </row>
    <row r="918" ht="15.75" customHeight="1">
      <c r="B918" s="6"/>
      <c r="C918" s="6"/>
      <c r="F918" s="7"/>
    </row>
    <row r="919" ht="15.75" customHeight="1">
      <c r="B919" s="6"/>
      <c r="C919" s="6"/>
      <c r="F919" s="7"/>
    </row>
    <row r="920" ht="15.75" customHeight="1">
      <c r="B920" s="6"/>
      <c r="C920" s="6"/>
      <c r="F920" s="7"/>
    </row>
    <row r="921" ht="15.75" customHeight="1">
      <c r="B921" s="6"/>
      <c r="C921" s="6"/>
      <c r="F921" s="7"/>
    </row>
    <row r="922" ht="15.75" customHeight="1">
      <c r="B922" s="6"/>
      <c r="C922" s="6"/>
      <c r="F922" s="7"/>
    </row>
    <row r="923" ht="15.75" customHeight="1">
      <c r="B923" s="6"/>
      <c r="C923" s="6"/>
      <c r="F923" s="7"/>
    </row>
    <row r="924" ht="15.75" customHeight="1">
      <c r="B924" s="6"/>
      <c r="C924" s="6"/>
      <c r="F924" s="7"/>
    </row>
    <row r="925" ht="15.75" customHeight="1">
      <c r="B925" s="6"/>
      <c r="C925" s="6"/>
      <c r="F925" s="7"/>
    </row>
    <row r="926" ht="15.75" customHeight="1">
      <c r="B926" s="6"/>
      <c r="C926" s="6"/>
      <c r="F926" s="7"/>
    </row>
    <row r="927" ht="15.75" customHeight="1">
      <c r="B927" s="6"/>
      <c r="C927" s="6"/>
      <c r="F927" s="7"/>
    </row>
    <row r="928" ht="15.75" customHeight="1">
      <c r="B928" s="6"/>
      <c r="C928" s="6"/>
      <c r="F928" s="7"/>
    </row>
    <row r="929" ht="15.75" customHeight="1">
      <c r="B929" s="6"/>
      <c r="C929" s="6"/>
      <c r="F929" s="7"/>
    </row>
    <row r="930" ht="15.75" customHeight="1">
      <c r="B930" s="6"/>
      <c r="C930" s="6"/>
      <c r="F930" s="7"/>
    </row>
    <row r="931" ht="15.75" customHeight="1">
      <c r="B931" s="6"/>
      <c r="C931" s="6"/>
      <c r="F931" s="7"/>
    </row>
    <row r="932" ht="15.75" customHeight="1">
      <c r="B932" s="6"/>
      <c r="C932" s="6"/>
      <c r="F932" s="7"/>
    </row>
    <row r="933" ht="15.75" customHeight="1">
      <c r="B933" s="6"/>
      <c r="C933" s="6"/>
      <c r="F933" s="7"/>
    </row>
    <row r="934" ht="15.75" customHeight="1">
      <c r="B934" s="6"/>
      <c r="C934" s="6"/>
      <c r="F934" s="7"/>
    </row>
    <row r="935" ht="15.75" customHeight="1">
      <c r="B935" s="6"/>
      <c r="C935" s="6"/>
      <c r="F935" s="7"/>
    </row>
    <row r="936" ht="15.75" customHeight="1">
      <c r="B936" s="6"/>
      <c r="C936" s="6"/>
      <c r="F936" s="7"/>
    </row>
    <row r="937" ht="15.75" customHeight="1">
      <c r="B937" s="6"/>
      <c r="C937" s="6"/>
      <c r="F937" s="7"/>
    </row>
    <row r="938" ht="15.75" customHeight="1">
      <c r="B938" s="6"/>
      <c r="C938" s="6"/>
      <c r="F938" s="7"/>
    </row>
    <row r="939" ht="15.75" customHeight="1">
      <c r="B939" s="6"/>
      <c r="C939" s="6"/>
      <c r="F939" s="7"/>
    </row>
    <row r="940" ht="15.75" customHeight="1">
      <c r="B940" s="6"/>
      <c r="C940" s="6"/>
      <c r="F940" s="7"/>
    </row>
    <row r="941" ht="15.75" customHeight="1">
      <c r="B941" s="6"/>
      <c r="C941" s="6"/>
      <c r="F941" s="7"/>
    </row>
    <row r="942" ht="15.75" customHeight="1">
      <c r="B942" s="6"/>
      <c r="C942" s="6"/>
      <c r="F942" s="7"/>
    </row>
    <row r="943" ht="15.75" customHeight="1">
      <c r="B943" s="6"/>
      <c r="C943" s="6"/>
      <c r="F943" s="7"/>
    </row>
    <row r="944" ht="15.75" customHeight="1">
      <c r="B944" s="6"/>
      <c r="C944" s="6"/>
      <c r="F944" s="7"/>
    </row>
    <row r="945" ht="15.75" customHeight="1">
      <c r="B945" s="6"/>
      <c r="C945" s="6"/>
      <c r="F945" s="7"/>
    </row>
    <row r="946" ht="15.75" customHeight="1">
      <c r="B946" s="6"/>
      <c r="C946" s="6"/>
      <c r="F946" s="7"/>
    </row>
    <row r="947" ht="15.75" customHeight="1">
      <c r="B947" s="6"/>
      <c r="C947" s="6"/>
      <c r="F947" s="7"/>
    </row>
    <row r="948" ht="15.75" customHeight="1">
      <c r="B948" s="6"/>
      <c r="C948" s="6"/>
      <c r="F948" s="7"/>
    </row>
    <row r="949" ht="15.75" customHeight="1">
      <c r="B949" s="6"/>
      <c r="C949" s="6"/>
      <c r="F949" s="7"/>
    </row>
    <row r="950" ht="15.75" customHeight="1">
      <c r="B950" s="6"/>
      <c r="C950" s="6"/>
      <c r="F950" s="7"/>
    </row>
    <row r="951" ht="15.75" customHeight="1">
      <c r="B951" s="6"/>
      <c r="C951" s="6"/>
      <c r="F951" s="7"/>
    </row>
    <row r="952" ht="15.75" customHeight="1">
      <c r="B952" s="6"/>
      <c r="C952" s="6"/>
      <c r="F952" s="7"/>
    </row>
    <row r="953" ht="15.75" customHeight="1">
      <c r="B953" s="6"/>
      <c r="C953" s="6"/>
      <c r="F953" s="7"/>
    </row>
    <row r="954" ht="15.75" customHeight="1">
      <c r="B954" s="6"/>
      <c r="C954" s="6"/>
      <c r="F954" s="7"/>
    </row>
    <row r="955" ht="15.75" customHeight="1">
      <c r="B955" s="6"/>
      <c r="C955" s="6"/>
      <c r="F955" s="7"/>
    </row>
    <row r="956" ht="15.75" customHeight="1">
      <c r="B956" s="6"/>
      <c r="C956" s="6"/>
      <c r="F956" s="7"/>
    </row>
    <row r="957" ht="15.75" customHeight="1">
      <c r="B957" s="6"/>
      <c r="C957" s="6"/>
      <c r="F957" s="7"/>
    </row>
    <row r="958" ht="15.75" customHeight="1">
      <c r="B958" s="6"/>
      <c r="C958" s="6"/>
      <c r="F958" s="7"/>
    </row>
    <row r="959" ht="15.75" customHeight="1">
      <c r="B959" s="6"/>
      <c r="C959" s="6"/>
      <c r="F959" s="7"/>
    </row>
    <row r="960" ht="15.75" customHeight="1">
      <c r="B960" s="6"/>
      <c r="C960" s="6"/>
      <c r="F960" s="7"/>
    </row>
    <row r="961" ht="15.75" customHeight="1">
      <c r="B961" s="6"/>
      <c r="C961" s="6"/>
      <c r="F961" s="7"/>
    </row>
    <row r="962" ht="15.75" customHeight="1">
      <c r="B962" s="6"/>
      <c r="C962" s="6"/>
      <c r="F962" s="7"/>
    </row>
    <row r="963" ht="15.75" customHeight="1">
      <c r="B963" s="6"/>
      <c r="C963" s="6"/>
      <c r="F963" s="7"/>
    </row>
    <row r="964" ht="15.75" customHeight="1">
      <c r="B964" s="6"/>
      <c r="C964" s="6"/>
      <c r="F964" s="7"/>
    </row>
    <row r="965" ht="15.75" customHeight="1">
      <c r="B965" s="6"/>
      <c r="C965" s="6"/>
      <c r="F965" s="7"/>
    </row>
    <row r="966" ht="15.75" customHeight="1">
      <c r="B966" s="6"/>
      <c r="C966" s="6"/>
      <c r="F966" s="7"/>
    </row>
    <row r="967" ht="15.75" customHeight="1">
      <c r="B967" s="6"/>
      <c r="C967" s="6"/>
      <c r="F967" s="7"/>
    </row>
    <row r="968" ht="15.75" customHeight="1">
      <c r="B968" s="6"/>
      <c r="C968" s="6"/>
      <c r="F968" s="7"/>
    </row>
    <row r="969" ht="15.75" customHeight="1">
      <c r="B969" s="6"/>
      <c r="C969" s="6"/>
      <c r="F969" s="7"/>
    </row>
    <row r="970" ht="15.75" customHeight="1">
      <c r="B970" s="6"/>
      <c r="C970" s="6"/>
      <c r="F970" s="7"/>
    </row>
    <row r="971" ht="15.75" customHeight="1">
      <c r="B971" s="6"/>
      <c r="C971" s="6"/>
      <c r="F971" s="7"/>
    </row>
    <row r="972" ht="15.75" customHeight="1">
      <c r="B972" s="6"/>
      <c r="C972" s="6"/>
      <c r="F972" s="7"/>
    </row>
    <row r="973" ht="15.75" customHeight="1">
      <c r="B973" s="6"/>
      <c r="C973" s="6"/>
      <c r="F973" s="7"/>
    </row>
    <row r="974" ht="15.75" customHeight="1">
      <c r="B974" s="6"/>
      <c r="C974" s="6"/>
      <c r="F974" s="7"/>
    </row>
    <row r="975" ht="15.75" customHeight="1">
      <c r="B975" s="6"/>
      <c r="C975" s="6"/>
      <c r="F975" s="7"/>
    </row>
    <row r="976" ht="15.75" customHeight="1">
      <c r="B976" s="6"/>
      <c r="C976" s="6"/>
      <c r="F976" s="7"/>
    </row>
    <row r="977" ht="15.75" customHeight="1">
      <c r="B977" s="6"/>
      <c r="C977" s="6"/>
      <c r="F977" s="7"/>
    </row>
    <row r="978" ht="15.75" customHeight="1">
      <c r="B978" s="6"/>
      <c r="C978" s="6"/>
      <c r="F978" s="7"/>
    </row>
    <row r="979" ht="15.75" customHeight="1">
      <c r="B979" s="6"/>
      <c r="C979" s="6"/>
      <c r="F979" s="7"/>
    </row>
    <row r="980" ht="15.75" customHeight="1">
      <c r="B980" s="6"/>
      <c r="C980" s="6"/>
      <c r="F980" s="7"/>
    </row>
    <row r="981" ht="15.75" customHeight="1">
      <c r="B981" s="6"/>
      <c r="C981" s="6"/>
      <c r="F981" s="7"/>
    </row>
    <row r="982" ht="15.75" customHeight="1">
      <c r="B982" s="6"/>
      <c r="C982" s="6"/>
      <c r="F982" s="7"/>
    </row>
    <row r="983" ht="15.75" customHeight="1">
      <c r="B983" s="6"/>
      <c r="C983" s="6"/>
      <c r="F983" s="7"/>
    </row>
    <row r="984" ht="15.75" customHeight="1">
      <c r="B984" s="6"/>
      <c r="C984" s="6"/>
      <c r="F984" s="7"/>
    </row>
    <row r="985" ht="15.75" customHeight="1">
      <c r="B985" s="6"/>
      <c r="C985" s="6"/>
      <c r="F985" s="7"/>
    </row>
    <row r="986" ht="15.75" customHeight="1">
      <c r="B986" s="6"/>
      <c r="C986" s="6"/>
      <c r="F986" s="7"/>
    </row>
    <row r="987" ht="15.75" customHeight="1">
      <c r="B987" s="6"/>
      <c r="C987" s="6"/>
      <c r="F987" s="7"/>
    </row>
    <row r="988" ht="15.75" customHeight="1">
      <c r="B988" s="6"/>
      <c r="C988" s="6"/>
      <c r="F988" s="7"/>
    </row>
    <row r="989" ht="15.75" customHeight="1">
      <c r="B989" s="6"/>
      <c r="C989" s="6"/>
      <c r="F989" s="7"/>
    </row>
    <row r="990" ht="15.75" customHeight="1">
      <c r="B990" s="6"/>
      <c r="C990" s="6"/>
      <c r="F990" s="7"/>
    </row>
    <row r="991" ht="15.75" customHeight="1">
      <c r="B991" s="6"/>
      <c r="C991" s="6"/>
      <c r="F991" s="7"/>
    </row>
    <row r="992" ht="15.75" customHeight="1">
      <c r="B992" s="6"/>
      <c r="C992" s="6"/>
      <c r="F992" s="7"/>
    </row>
    <row r="993" ht="15.75" customHeight="1">
      <c r="B993" s="6"/>
      <c r="C993" s="6"/>
      <c r="F993" s="7"/>
    </row>
    <row r="994" ht="15.75" customHeight="1">
      <c r="B994" s="6"/>
      <c r="C994" s="6"/>
      <c r="F994" s="7"/>
    </row>
    <row r="995" ht="15.75" customHeight="1">
      <c r="B995" s="6"/>
      <c r="C995" s="6"/>
      <c r="F995" s="7"/>
    </row>
    <row r="996" ht="15.75" customHeight="1">
      <c r="B996" s="6"/>
      <c r="C996" s="6"/>
      <c r="F996" s="7"/>
    </row>
    <row r="997" ht="15.75" customHeight="1">
      <c r="B997" s="6"/>
      <c r="C997" s="6"/>
      <c r="F997" s="7"/>
    </row>
    <row r="998" ht="15.75" customHeight="1">
      <c r="B998" s="6"/>
      <c r="C998" s="6"/>
      <c r="F998" s="7"/>
    </row>
    <row r="999" ht="15.75" customHeight="1">
      <c r="B999" s="6"/>
      <c r="C999" s="6"/>
      <c r="F999" s="7"/>
    </row>
    <row r="1000" ht="15.75" customHeight="1">
      <c r="B1000" s="6"/>
      <c r="C1000" s="6"/>
      <c r="F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" width="14.0"/>
    <col customWidth="1" min="3" max="3" width="15.78"/>
    <col customWidth="1" min="4" max="4" width="24.67"/>
    <col customWidth="1" min="5" max="5" width="16.11"/>
    <col customWidth="1" min="6" max="6" width="19.67"/>
    <col customWidth="1" min="7" max="7" width="10.56"/>
    <col customWidth="1" min="8" max="8" width="21.67"/>
    <col customWidth="1" min="9" max="26" width="10.56"/>
  </cols>
  <sheetData>
    <row r="1" ht="15.75" customHeight="1">
      <c r="A1" s="19" t="s">
        <v>36</v>
      </c>
      <c r="B1" s="5">
        <f>SUM('Google Ads Data'!D2:D366)</f>
        <v>625835.16</v>
      </c>
    </row>
    <row r="2" ht="15.75" customHeight="1">
      <c r="A2" s="19" t="s">
        <v>37</v>
      </c>
      <c r="B2" s="4">
        <f>SUM('Google Ads Data'!C2:C366)</f>
        <v>418914</v>
      </c>
    </row>
    <row r="3" ht="15.75" customHeight="1">
      <c r="A3" s="19" t="s">
        <v>38</v>
      </c>
      <c r="B3" s="5">
        <f>AVERAGE('Paid Reporting'!D2:D366)</f>
        <v>1.50365954</v>
      </c>
      <c r="H3" s="5"/>
    </row>
    <row r="4" ht="15.75" customHeight="1">
      <c r="A4" s="19" t="s">
        <v>39</v>
      </c>
      <c r="B4" s="5">
        <f>('Google Ads Data'!D2/'Google Ads Data'!B2)*10000</f>
        <v>244.7693011</v>
      </c>
      <c r="H4" s="5"/>
    </row>
    <row r="5" ht="15.75" customHeight="1">
      <c r="A5" s="19" t="s">
        <v>40</v>
      </c>
      <c r="B5" s="4">
        <f>SUM('Google Ads Data'!E2:E366)</f>
        <v>7763</v>
      </c>
      <c r="H5" s="5"/>
    </row>
    <row r="6" ht="15.75" customHeight="1">
      <c r="A6" s="19" t="s">
        <v>41</v>
      </c>
      <c r="B6" s="5">
        <f>SUM('Google Ads Data'!F2:F366)</f>
        <v>1211548.17</v>
      </c>
      <c r="H6" s="5"/>
    </row>
    <row r="7" ht="15.75" customHeight="1">
      <c r="A7" s="19" t="s">
        <v>34</v>
      </c>
      <c r="B7" s="20">
        <f>Summary!B6/Summary!B1</f>
        <v>1.935890227</v>
      </c>
      <c r="H7" s="5"/>
    </row>
    <row r="8" ht="15.75" customHeight="1">
      <c r="A8" s="19" t="s">
        <v>42</v>
      </c>
      <c r="B8" s="5">
        <f>AVERAGE('Paid Reporting'!G2:G366)</f>
        <v>86.58684975</v>
      </c>
      <c r="H8" s="5"/>
    </row>
    <row r="9" ht="15.75" customHeight="1">
      <c r="H9" s="5"/>
    </row>
    <row r="10" ht="15.75" customHeight="1">
      <c r="H10" s="5"/>
    </row>
    <row r="11" ht="15.75" customHeight="1">
      <c r="H11" s="5"/>
    </row>
    <row r="12" ht="15.75" customHeight="1">
      <c r="H12" s="5"/>
    </row>
    <row r="13" ht="15.75" customHeight="1">
      <c r="H13" s="5"/>
    </row>
    <row r="14" ht="15.75" customHeight="1">
      <c r="H14" s="5"/>
    </row>
    <row r="15" ht="15.75" customHeight="1">
      <c r="H15" s="5"/>
    </row>
    <row r="16" ht="15.75" customHeight="1">
      <c r="H16" s="5"/>
    </row>
    <row r="17" ht="15.75" customHeight="1">
      <c r="H17" s="5"/>
    </row>
    <row r="18" ht="15.75" customHeight="1">
      <c r="H18" s="5"/>
    </row>
    <row r="19" ht="15.75" customHeight="1">
      <c r="H19" s="5"/>
    </row>
    <row r="20" ht="15.75" customHeight="1">
      <c r="H20" s="5"/>
    </row>
    <row r="21" ht="15.75" customHeight="1">
      <c r="H21" s="5"/>
    </row>
    <row r="22" ht="15.75" customHeight="1">
      <c r="H22" s="5"/>
    </row>
    <row r="23" ht="15.75" customHeight="1">
      <c r="H23" s="5"/>
    </row>
    <row r="24" ht="15.75" customHeight="1">
      <c r="H24" s="5"/>
    </row>
    <row r="25" ht="15.75" customHeight="1">
      <c r="H25" s="5"/>
    </row>
    <row r="26" ht="15.75" customHeight="1">
      <c r="H26" s="5"/>
    </row>
    <row r="27" ht="15.75" customHeight="1">
      <c r="H27" s="5"/>
    </row>
    <row r="28" ht="15.75" customHeight="1">
      <c r="H28" s="5"/>
    </row>
    <row r="29" ht="15.75" customHeight="1">
      <c r="H29" s="5"/>
    </row>
    <row r="30" ht="15.75" customHeight="1">
      <c r="H30" s="5"/>
    </row>
    <row r="31" ht="15.75" customHeight="1">
      <c r="H31" s="5"/>
    </row>
    <row r="32" ht="15.75" customHeight="1">
      <c r="H32" s="5"/>
    </row>
    <row r="33" ht="15.75" customHeight="1">
      <c r="H33" s="5"/>
    </row>
    <row r="34" ht="15.75" customHeight="1">
      <c r="H34" s="5"/>
    </row>
    <row r="35" ht="15.75" customHeight="1">
      <c r="H35" s="5"/>
    </row>
    <row r="36" ht="15.75" customHeight="1">
      <c r="H36" s="5"/>
    </row>
    <row r="37" ht="15.75" customHeight="1">
      <c r="H37" s="5"/>
    </row>
    <row r="38" ht="15.75" customHeight="1">
      <c r="H38" s="5"/>
    </row>
    <row r="39" ht="15.75" customHeight="1">
      <c r="H39" s="5"/>
    </row>
    <row r="40" ht="15.75" customHeight="1">
      <c r="H40" s="5"/>
    </row>
    <row r="41" ht="15.75" customHeight="1">
      <c r="H41" s="5"/>
    </row>
    <row r="42" ht="15.75" customHeight="1">
      <c r="H42" s="5"/>
    </row>
    <row r="43" ht="15.75" customHeight="1">
      <c r="H43" s="5"/>
    </row>
    <row r="44" ht="15.75" customHeight="1">
      <c r="H44" s="5"/>
    </row>
    <row r="45" ht="15.75" customHeight="1">
      <c r="H45" s="5"/>
    </row>
    <row r="46" ht="15.75" customHeight="1">
      <c r="H46" s="5"/>
    </row>
    <row r="47" ht="15.75" customHeight="1">
      <c r="H47" s="5"/>
    </row>
    <row r="48" ht="15.75" customHeight="1">
      <c r="H48" s="5"/>
    </row>
    <row r="49" ht="15.75" customHeight="1">
      <c r="H49" s="5"/>
    </row>
    <row r="50" ht="15.75" customHeight="1">
      <c r="H50" s="5"/>
    </row>
    <row r="51" ht="15.75" customHeight="1">
      <c r="H51" s="5"/>
    </row>
    <row r="52" ht="15.75" customHeight="1">
      <c r="H52" s="5"/>
    </row>
    <row r="53" ht="15.75" customHeight="1">
      <c r="H53" s="5"/>
    </row>
    <row r="54" ht="15.75" customHeight="1">
      <c r="H54" s="5"/>
    </row>
    <row r="55" ht="15.75" customHeight="1">
      <c r="H55" s="5"/>
    </row>
    <row r="56" ht="15.75" customHeight="1">
      <c r="H56" s="5"/>
    </row>
    <row r="57" ht="15.75" customHeight="1">
      <c r="H57" s="5"/>
    </row>
    <row r="58" ht="15.75" customHeight="1">
      <c r="H58" s="5"/>
    </row>
    <row r="59" ht="15.75" customHeight="1">
      <c r="H59" s="5"/>
    </row>
    <row r="60" ht="15.75" customHeight="1">
      <c r="H60" s="5"/>
    </row>
    <row r="61" ht="15.75" customHeight="1">
      <c r="H61" s="5"/>
    </row>
    <row r="62" ht="15.75" customHeight="1">
      <c r="H62" s="5"/>
    </row>
    <row r="63" ht="15.75" customHeight="1">
      <c r="H63" s="5"/>
    </row>
    <row r="64" ht="15.75" customHeight="1">
      <c r="H64" s="5"/>
    </row>
    <row r="65" ht="15.75" customHeight="1">
      <c r="H65" s="5"/>
    </row>
    <row r="66" ht="15.75" customHeight="1">
      <c r="H66" s="5"/>
    </row>
    <row r="67" ht="15.75" customHeight="1">
      <c r="H67" s="5"/>
    </row>
    <row r="68" ht="15.75" customHeight="1">
      <c r="H68" s="5"/>
    </row>
    <row r="69" ht="15.75" customHeight="1">
      <c r="H69" s="5"/>
    </row>
    <row r="70" ht="15.75" customHeight="1">
      <c r="H70" s="5"/>
    </row>
    <row r="71" ht="15.75" customHeight="1">
      <c r="H71" s="5"/>
    </row>
    <row r="72" ht="15.75" customHeight="1">
      <c r="H72" s="5"/>
    </row>
    <row r="73" ht="15.75" customHeight="1">
      <c r="H73" s="5"/>
    </row>
    <row r="74" ht="15.75" customHeight="1">
      <c r="H74" s="5"/>
    </row>
    <row r="75" ht="15.75" customHeight="1">
      <c r="H75" s="5"/>
    </row>
    <row r="76" ht="15.75" customHeight="1">
      <c r="H76" s="5"/>
    </row>
    <row r="77" ht="15.75" customHeight="1">
      <c r="H77" s="5"/>
    </row>
    <row r="78" ht="15.75" customHeight="1">
      <c r="H78" s="5"/>
    </row>
    <row r="79" ht="15.75" customHeight="1">
      <c r="H79" s="5"/>
    </row>
    <row r="80" ht="15.75" customHeight="1">
      <c r="H80" s="5"/>
    </row>
    <row r="81" ht="15.75" customHeight="1">
      <c r="H81" s="5"/>
    </row>
    <row r="82" ht="15.75" customHeight="1">
      <c r="H82" s="5"/>
    </row>
    <row r="83" ht="15.75" customHeight="1">
      <c r="H83" s="5"/>
    </row>
    <row r="84" ht="15.75" customHeight="1">
      <c r="H84" s="5"/>
    </row>
    <row r="85" ht="15.75" customHeight="1">
      <c r="H85" s="5"/>
    </row>
    <row r="86" ht="15.75" customHeight="1">
      <c r="H86" s="5"/>
    </row>
    <row r="87" ht="15.75" customHeight="1">
      <c r="H87" s="5"/>
    </row>
    <row r="88" ht="15.75" customHeight="1">
      <c r="H88" s="5"/>
    </row>
    <row r="89" ht="15.75" customHeight="1">
      <c r="H89" s="5"/>
    </row>
    <row r="90" ht="15.75" customHeight="1">
      <c r="H90" s="5"/>
    </row>
    <row r="91" ht="15.75" customHeight="1">
      <c r="H91" s="5"/>
    </row>
    <row r="92" ht="15.75" customHeight="1">
      <c r="H92" s="5"/>
    </row>
    <row r="93" ht="15.75" customHeight="1">
      <c r="H93" s="5"/>
    </row>
    <row r="94" ht="15.75" customHeight="1">
      <c r="H94" s="5"/>
    </row>
    <row r="95" ht="15.75" customHeight="1">
      <c r="H95" s="5"/>
    </row>
    <row r="96" ht="15.75" customHeight="1">
      <c r="H96" s="5"/>
    </row>
    <row r="97" ht="15.75" customHeight="1">
      <c r="H97" s="5"/>
    </row>
    <row r="98" ht="15.75" customHeight="1">
      <c r="H98" s="5"/>
    </row>
    <row r="99" ht="15.75" customHeight="1">
      <c r="H99" s="5"/>
    </row>
    <row r="100" ht="15.75" customHeight="1">
      <c r="H100" s="5"/>
    </row>
    <row r="101" ht="15.75" customHeight="1">
      <c r="H101" s="5"/>
    </row>
    <row r="102" ht="15.75" customHeight="1">
      <c r="H102" s="5"/>
    </row>
    <row r="103" ht="15.75" customHeight="1">
      <c r="H103" s="5"/>
    </row>
    <row r="104" ht="15.75" customHeight="1">
      <c r="H104" s="5"/>
    </row>
    <row r="105" ht="15.75" customHeight="1">
      <c r="H105" s="5"/>
    </row>
    <row r="106" ht="15.75" customHeight="1">
      <c r="H106" s="5"/>
    </row>
    <row r="107" ht="15.75" customHeight="1">
      <c r="H107" s="5"/>
    </row>
    <row r="108" ht="15.75" customHeight="1">
      <c r="H108" s="5"/>
    </row>
    <row r="109" ht="15.75" customHeight="1">
      <c r="H109" s="5"/>
    </row>
    <row r="110" ht="15.75" customHeight="1">
      <c r="H110" s="5"/>
    </row>
    <row r="111" ht="15.75" customHeight="1">
      <c r="H111" s="5"/>
    </row>
    <row r="112" ht="15.75" customHeight="1">
      <c r="H112" s="5"/>
    </row>
    <row r="113" ht="15.75" customHeight="1">
      <c r="H113" s="5"/>
    </row>
    <row r="114" ht="15.75" customHeight="1">
      <c r="H114" s="5"/>
    </row>
    <row r="115" ht="15.75" customHeight="1">
      <c r="H115" s="5"/>
    </row>
    <row r="116" ht="15.75" customHeight="1">
      <c r="H116" s="5"/>
    </row>
    <row r="117" ht="15.75" customHeight="1">
      <c r="H117" s="5"/>
    </row>
    <row r="118" ht="15.75" customHeight="1">
      <c r="H118" s="5"/>
    </row>
    <row r="119" ht="15.75" customHeight="1">
      <c r="H119" s="5"/>
    </row>
    <row r="120" ht="15.75" customHeight="1">
      <c r="H120" s="5"/>
    </row>
    <row r="121" ht="15.75" customHeight="1">
      <c r="H121" s="5"/>
    </row>
    <row r="122" ht="15.75" customHeight="1">
      <c r="H122" s="5"/>
    </row>
    <row r="123" ht="15.75" customHeight="1">
      <c r="H123" s="5"/>
    </row>
    <row r="124" ht="15.75" customHeight="1">
      <c r="H124" s="5"/>
    </row>
    <row r="125" ht="15.75" customHeight="1">
      <c r="H125" s="5"/>
    </row>
    <row r="126" ht="15.75" customHeight="1">
      <c r="H126" s="5"/>
    </row>
    <row r="127" ht="15.75" customHeight="1">
      <c r="H127" s="5"/>
    </row>
    <row r="128" ht="15.75" customHeight="1">
      <c r="H128" s="5"/>
    </row>
    <row r="129" ht="15.75" customHeight="1">
      <c r="H129" s="5"/>
    </row>
    <row r="130" ht="15.75" customHeight="1">
      <c r="H130" s="5"/>
    </row>
    <row r="131" ht="15.75" customHeight="1">
      <c r="H131" s="5"/>
    </row>
    <row r="132" ht="15.75" customHeight="1">
      <c r="H132" s="5"/>
    </row>
    <row r="133" ht="15.75" customHeight="1">
      <c r="H133" s="5"/>
    </row>
    <row r="134" ht="15.75" customHeight="1">
      <c r="H134" s="5"/>
    </row>
    <row r="135" ht="15.75" customHeight="1">
      <c r="H135" s="5"/>
    </row>
    <row r="136" ht="15.75" customHeight="1">
      <c r="H136" s="5"/>
    </row>
    <row r="137" ht="15.75" customHeight="1">
      <c r="H137" s="5"/>
    </row>
    <row r="138" ht="15.75" customHeight="1">
      <c r="H138" s="5"/>
    </row>
    <row r="139" ht="15.75" customHeight="1">
      <c r="H139" s="5"/>
    </row>
    <row r="140" ht="15.75" customHeight="1">
      <c r="H140" s="5"/>
    </row>
    <row r="141" ht="15.75" customHeight="1">
      <c r="H141" s="5"/>
    </row>
    <row r="142" ht="15.75" customHeight="1">
      <c r="H142" s="5"/>
    </row>
    <row r="143" ht="15.75" customHeight="1">
      <c r="H143" s="5"/>
    </row>
    <row r="144" ht="15.75" customHeight="1">
      <c r="H144" s="5"/>
    </row>
    <row r="145" ht="15.75" customHeight="1">
      <c r="H145" s="5"/>
    </row>
    <row r="146" ht="15.75" customHeight="1">
      <c r="H146" s="5"/>
    </row>
    <row r="147" ht="15.75" customHeight="1">
      <c r="H147" s="5"/>
    </row>
    <row r="148" ht="15.75" customHeight="1">
      <c r="H148" s="5"/>
    </row>
    <row r="149" ht="15.75" customHeight="1">
      <c r="H149" s="5"/>
    </row>
    <row r="150" ht="15.75" customHeight="1">
      <c r="H150" s="5"/>
    </row>
    <row r="151" ht="15.75" customHeight="1">
      <c r="H151" s="5"/>
    </row>
    <row r="152" ht="15.75" customHeight="1">
      <c r="H152" s="5"/>
    </row>
    <row r="153" ht="15.75" customHeight="1">
      <c r="H153" s="5"/>
    </row>
    <row r="154" ht="15.75" customHeight="1">
      <c r="H154" s="5"/>
    </row>
    <row r="155" ht="15.75" customHeight="1">
      <c r="H155" s="5"/>
    </row>
    <row r="156" ht="15.75" customHeight="1">
      <c r="H156" s="5"/>
    </row>
    <row r="157" ht="15.75" customHeight="1">
      <c r="H157" s="5"/>
    </row>
    <row r="158" ht="15.75" customHeight="1">
      <c r="H158" s="5"/>
    </row>
    <row r="159" ht="15.75" customHeight="1">
      <c r="H159" s="5"/>
    </row>
    <row r="160" ht="15.75" customHeight="1">
      <c r="H160" s="5"/>
    </row>
    <row r="161" ht="15.75" customHeight="1">
      <c r="H161" s="5"/>
    </row>
    <row r="162" ht="15.75" customHeight="1">
      <c r="H162" s="5"/>
    </row>
    <row r="163" ht="15.75" customHeight="1">
      <c r="H163" s="5"/>
    </row>
    <row r="164" ht="15.75" customHeight="1">
      <c r="H164" s="5"/>
    </row>
    <row r="165" ht="15.75" customHeight="1">
      <c r="H165" s="5"/>
    </row>
    <row r="166" ht="15.75" customHeight="1">
      <c r="H166" s="5"/>
    </row>
    <row r="167" ht="15.75" customHeight="1">
      <c r="H167" s="5"/>
    </row>
    <row r="168" ht="15.75" customHeight="1">
      <c r="H168" s="5"/>
    </row>
    <row r="169" ht="15.75" customHeight="1">
      <c r="H169" s="5"/>
    </row>
    <row r="170" ht="15.75" customHeight="1">
      <c r="H170" s="5"/>
    </row>
    <row r="171" ht="15.75" customHeight="1">
      <c r="H171" s="5"/>
    </row>
    <row r="172" ht="15.75" customHeight="1">
      <c r="H172" s="5"/>
    </row>
    <row r="173" ht="15.75" customHeight="1">
      <c r="H173" s="5"/>
    </row>
    <row r="174" ht="15.75" customHeight="1">
      <c r="H174" s="5"/>
    </row>
    <row r="175" ht="15.75" customHeight="1">
      <c r="H175" s="5"/>
    </row>
    <row r="176" ht="15.75" customHeight="1">
      <c r="H176" s="5"/>
    </row>
    <row r="177" ht="15.75" customHeight="1">
      <c r="H177" s="5"/>
    </row>
    <row r="178" ht="15.75" customHeight="1">
      <c r="H178" s="5"/>
    </row>
    <row r="179" ht="15.75" customHeight="1">
      <c r="H179" s="5"/>
    </row>
    <row r="180" ht="15.75" customHeight="1">
      <c r="H180" s="5"/>
    </row>
    <row r="181" ht="15.75" customHeight="1">
      <c r="H181" s="5"/>
    </row>
    <row r="182" ht="15.75" customHeight="1">
      <c r="H182" s="5"/>
    </row>
    <row r="183" ht="15.75" customHeight="1">
      <c r="H183" s="5"/>
    </row>
    <row r="184" ht="15.75" customHeight="1">
      <c r="H184" s="5"/>
    </row>
    <row r="185" ht="15.75" customHeight="1">
      <c r="H185" s="5"/>
    </row>
    <row r="186" ht="15.75" customHeight="1">
      <c r="H186" s="5"/>
    </row>
    <row r="187" ht="15.75" customHeight="1">
      <c r="H187" s="5"/>
    </row>
    <row r="188" ht="15.75" customHeight="1">
      <c r="H188" s="5"/>
    </row>
    <row r="189" ht="15.75" customHeight="1">
      <c r="H189" s="5"/>
    </row>
    <row r="190" ht="15.75" customHeight="1">
      <c r="H190" s="5"/>
    </row>
    <row r="191" ht="15.75" customHeight="1">
      <c r="H191" s="5"/>
    </row>
    <row r="192" ht="15.75" customHeight="1">
      <c r="H192" s="5"/>
    </row>
    <row r="193" ht="15.75" customHeight="1">
      <c r="H193" s="5"/>
    </row>
    <row r="194" ht="15.75" customHeight="1">
      <c r="H194" s="5"/>
    </row>
    <row r="195" ht="15.75" customHeight="1">
      <c r="H195" s="5"/>
    </row>
    <row r="196" ht="15.75" customHeight="1">
      <c r="H196" s="5"/>
    </row>
    <row r="197" ht="15.75" customHeight="1">
      <c r="H197" s="5"/>
    </row>
    <row r="198" ht="15.75" customHeight="1">
      <c r="H198" s="5"/>
    </row>
    <row r="199" ht="15.75" customHeight="1">
      <c r="H199" s="5"/>
    </row>
    <row r="200" ht="15.75" customHeight="1">
      <c r="H200" s="5"/>
    </row>
    <row r="201" ht="15.75" customHeight="1">
      <c r="H201" s="5"/>
    </row>
    <row r="202" ht="15.75" customHeight="1">
      <c r="H202" s="5"/>
    </row>
    <row r="203" ht="15.75" customHeight="1">
      <c r="H203" s="5"/>
    </row>
    <row r="204" ht="15.75" customHeight="1">
      <c r="H204" s="5"/>
    </row>
    <row r="205" ht="15.75" customHeight="1">
      <c r="H205" s="5"/>
    </row>
    <row r="206" ht="15.75" customHeight="1">
      <c r="H206" s="5"/>
    </row>
    <row r="207" ht="15.75" customHeight="1">
      <c r="H207" s="5"/>
    </row>
    <row r="208" ht="15.75" customHeight="1">
      <c r="H208" s="5"/>
    </row>
    <row r="209" ht="15.75" customHeight="1">
      <c r="H209" s="5"/>
    </row>
    <row r="210" ht="15.75" customHeight="1">
      <c r="H210" s="5"/>
    </row>
    <row r="211" ht="15.75" customHeight="1">
      <c r="H211" s="5"/>
    </row>
    <row r="212" ht="15.75" customHeight="1">
      <c r="H212" s="5"/>
    </row>
    <row r="213" ht="15.75" customHeight="1">
      <c r="H213" s="5"/>
    </row>
    <row r="214" ht="15.75" customHeight="1">
      <c r="H214" s="5"/>
    </row>
    <row r="215" ht="15.75" customHeight="1">
      <c r="H215" s="5"/>
    </row>
    <row r="216" ht="15.75" customHeight="1">
      <c r="H216" s="5"/>
    </row>
    <row r="217" ht="15.75" customHeight="1">
      <c r="H217" s="5"/>
    </row>
    <row r="218" ht="15.75" customHeight="1">
      <c r="H218" s="5"/>
    </row>
    <row r="219" ht="15.75" customHeight="1">
      <c r="H219" s="5"/>
    </row>
    <row r="220" ht="15.75" customHeight="1">
      <c r="H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5.33"/>
    <col customWidth="1" min="3" max="3" width="11.0"/>
    <col customWidth="1" min="4" max="5" width="10.56"/>
    <col customWidth="1" min="6" max="6" width="34.78"/>
    <col customWidth="1" min="7" max="7" width="9.0"/>
    <col customWidth="1" min="8" max="9" width="17.44"/>
    <col customWidth="1" min="10" max="10" width="12.11"/>
    <col customWidth="1" min="11" max="11" width="11.33"/>
    <col customWidth="1" min="12" max="12" width="10.56"/>
    <col customWidth="1" min="13" max="13" width="21.44"/>
    <col customWidth="1" min="14" max="14" width="12.33"/>
    <col customWidth="1" min="15" max="15" width="6.67"/>
    <col customWidth="1" min="16" max="16" width="10.67"/>
    <col customWidth="1" min="17" max="17" width="12.11"/>
    <col customWidth="1" min="18" max="18" width="11.67"/>
    <col customWidth="1" min="19" max="19" width="18.78"/>
    <col customWidth="1" min="20" max="20" width="19.0"/>
    <col customWidth="1" min="21" max="26" width="10.56"/>
  </cols>
  <sheetData>
    <row r="1" ht="15.75" customHeight="1">
      <c r="B1" s="21" t="s">
        <v>43</v>
      </c>
      <c r="C1" s="22"/>
      <c r="F1" s="21" t="s">
        <v>44</v>
      </c>
      <c r="G1" s="22"/>
      <c r="I1" s="21" t="s">
        <v>45</v>
      </c>
      <c r="J1" s="22"/>
      <c r="M1" s="23" t="s">
        <v>0</v>
      </c>
      <c r="N1" s="24" t="s">
        <v>1</v>
      </c>
      <c r="O1" s="24" t="s">
        <v>2</v>
      </c>
      <c r="P1" s="24" t="s">
        <v>3</v>
      </c>
      <c r="Q1" s="24" t="s">
        <v>4</v>
      </c>
      <c r="R1" s="24" t="s">
        <v>5</v>
      </c>
      <c r="S1" s="25" t="s">
        <v>46</v>
      </c>
      <c r="T1" s="25" t="s">
        <v>47</v>
      </c>
    </row>
    <row r="2" ht="15.75" customHeight="1">
      <c r="B2" s="4" t="s">
        <v>48</v>
      </c>
      <c r="C2" s="7">
        <f>SUMIF('Google Ads Data'!A2:A366,"&lt;=1-feb-2023",'Google Ads Data'!D2:D366)</f>
        <v>52790.74</v>
      </c>
      <c r="F2" s="4" t="s">
        <v>49</v>
      </c>
      <c r="G2" s="4">
        <f t="array" ref="G2">SUMPRODUCT((MONTH('Google Ads Data'!A2:A366)=1)*('Google Ads Data'!E2:E366))</f>
        <v>599</v>
      </c>
      <c r="I2" s="4" t="s">
        <v>48</v>
      </c>
      <c r="J2" s="7">
        <f t="array" ref="J2">SUMPRODUCT((MONTH('Google Ads Data'!A2:A366)=1)*('Google Ads Data'!F2:F366))</f>
        <v>98964.47</v>
      </c>
      <c r="M2" s="3">
        <v>45261.0</v>
      </c>
      <c r="N2" s="8">
        <v>99954.0</v>
      </c>
      <c r="O2" s="4">
        <v>2447.0</v>
      </c>
      <c r="P2" s="5">
        <v>2938.64</v>
      </c>
      <c r="Q2" s="4">
        <v>31.0</v>
      </c>
      <c r="R2" s="5">
        <v>5538.78</v>
      </c>
      <c r="S2" s="7">
        <v>37228.37760523089</v>
      </c>
      <c r="T2" s="7">
        <v>1.2009154066203513</v>
      </c>
    </row>
    <row r="3" ht="15.75" customHeight="1">
      <c r="B3" s="4" t="s">
        <v>50</v>
      </c>
      <c r="C3" s="7">
        <f>SUM('Google Ads Data'!D33:D60)</f>
        <v>46484.56</v>
      </c>
      <c r="F3" s="4" t="s">
        <v>51</v>
      </c>
      <c r="G3" s="4">
        <f t="array" ref="G3">SUMPRODUCT((MONTH('Google Ads Data'!A2:A366)=2)*('Google Ads Data'!E2:E366))</f>
        <v>555</v>
      </c>
      <c r="I3" s="4" t="s">
        <v>50</v>
      </c>
      <c r="J3" s="7">
        <f t="array" ref="J3">SUMPRODUCT((MONTH('Google Ads Data'!A2:A366)=2)*('Google Ads Data'!F2:F366))</f>
        <v>91888.7</v>
      </c>
      <c r="M3" s="3">
        <v>45262.0</v>
      </c>
      <c r="N3" s="8">
        <v>92967.0</v>
      </c>
      <c r="O3" s="4">
        <v>1877.0</v>
      </c>
      <c r="P3" s="5">
        <v>2723.0</v>
      </c>
      <c r="Q3" s="4">
        <v>34.0</v>
      </c>
      <c r="R3" s="5">
        <v>6672.67</v>
      </c>
      <c r="S3" s="7">
        <v>49324.45391582312</v>
      </c>
      <c r="T3" s="7">
        <v>1.4507192328183272</v>
      </c>
    </row>
    <row r="4" ht="15.75" customHeight="1">
      <c r="B4" s="4" t="s">
        <v>52</v>
      </c>
      <c r="C4" s="7">
        <f t="array" ref="C4">SUMPRODUCT((MONTH('Google Ads Data'!A2:A366)=3)*('Google Ads Data'!D2:D366))</f>
        <v>46468.54</v>
      </c>
      <c r="F4" s="4" t="s">
        <v>53</v>
      </c>
      <c r="G4" s="4">
        <f t="array" ref="G4">SUMPRODUCT((MONTH('Google Ads Data'!A2:A366)=3)*('Google Ads Data'!E2:E366))</f>
        <v>606</v>
      </c>
      <c r="I4" s="4" t="s">
        <v>52</v>
      </c>
      <c r="J4" s="7">
        <f t="array" ref="J4">SUMPRODUCT((MONTH('Google Ads Data'!A2:A366)=3)*('Google Ads Data'!F2:F366))</f>
        <v>91450.71</v>
      </c>
      <c r="M4" s="3">
        <v>45263.0</v>
      </c>
      <c r="N4" s="8">
        <v>57849.0</v>
      </c>
      <c r="O4" s="4">
        <v>670.0</v>
      </c>
      <c r="P4" s="5">
        <v>1234.72</v>
      </c>
      <c r="Q4" s="4">
        <v>12.0</v>
      </c>
      <c r="R4" s="5">
        <v>2625.34</v>
      </c>
      <c r="S4" s="7">
        <v>22114.388059701494</v>
      </c>
      <c r="T4" s="7">
        <v>1.842865671641791</v>
      </c>
    </row>
    <row r="5" ht="15.75" customHeight="1">
      <c r="B5" s="4" t="s">
        <v>54</v>
      </c>
      <c r="C5" s="7">
        <f t="array" ref="C5">SUMPRODUCT((MONTH('Google Ads Data'!A2:A366)=4)*('Google Ads Data'!D2:D366))</f>
        <v>59350.63</v>
      </c>
      <c r="F5" s="4" t="s">
        <v>55</v>
      </c>
      <c r="G5" s="4">
        <f t="array" ref="G5">SUMPRODUCT((MONTH('Google Ads Data'!A2:A366)=4)*('Google Ads Data'!E2:E366))</f>
        <v>730</v>
      </c>
      <c r="I5" s="4" t="s">
        <v>54</v>
      </c>
      <c r="J5" s="7">
        <f t="array" ref="J5">SUMPRODUCT((MONTH('Google Ads Data'!A2:A366)=4)*('Google Ads Data'!F2:F366))</f>
        <v>111557.62</v>
      </c>
      <c r="M5" s="3">
        <v>45264.0</v>
      </c>
      <c r="N5" s="8">
        <v>106053.0</v>
      </c>
      <c r="O5" s="4">
        <v>2767.0</v>
      </c>
      <c r="P5" s="5">
        <v>4677.88</v>
      </c>
      <c r="Q5" s="4">
        <v>62.0</v>
      </c>
      <c r="R5" s="5">
        <v>11381.39</v>
      </c>
      <c r="S5" s="7">
        <v>104816.97144922298</v>
      </c>
      <c r="T5" s="7">
        <v>1.690596313697145</v>
      </c>
    </row>
    <row r="6" ht="15.75" customHeight="1">
      <c r="B6" s="4" t="s">
        <v>56</v>
      </c>
      <c r="C6" s="7">
        <f t="array" ref="C6">SUMPRODUCT((MONTH('Google Ads Data'!A2:A366)=5)*('Google Ads Data'!D2:D366))</f>
        <v>57028.77</v>
      </c>
      <c r="F6" s="4" t="s">
        <v>57</v>
      </c>
      <c r="G6" s="4">
        <f t="array" ref="G6">SUMPRODUCT((MONTH('Google Ads Data'!A2:A366)=5)*('Google Ads Data'!E2:E366))</f>
        <v>698</v>
      </c>
      <c r="I6" s="4" t="s">
        <v>56</v>
      </c>
      <c r="J6" s="7">
        <f t="array" ref="J6">SUMPRODUCT((MONTH('Google Ads Data'!A2:A366)=5)*('Google Ads Data'!F2:F366))</f>
        <v>106923.8</v>
      </c>
      <c r="M6" s="3">
        <v>45265.0</v>
      </c>
      <c r="N6" s="8">
        <v>76114.0</v>
      </c>
      <c r="O6" s="4">
        <v>768.0</v>
      </c>
      <c r="P6" s="5">
        <v>1183.87</v>
      </c>
      <c r="Q6" s="4">
        <v>19.0</v>
      </c>
      <c r="R6" s="5">
        <v>2306.25</v>
      </c>
      <c r="S6" s="7">
        <v>29288.45052083333</v>
      </c>
      <c r="T6" s="7">
        <v>1.5414973958333331</v>
      </c>
    </row>
    <row r="7" ht="15.75" customHeight="1">
      <c r="B7" s="4" t="s">
        <v>58</v>
      </c>
      <c r="C7" s="7">
        <f t="array" ref="C7">SUMPRODUCT((MONTH('Google Ads Data'!A2:A366)=6)*('Google Ads Data'!D2:D366))</f>
        <v>57115.37</v>
      </c>
      <c r="F7" s="4" t="s">
        <v>59</v>
      </c>
      <c r="G7" s="4">
        <f t="array" ref="G7">SUMPRODUCT((MONTH('Google Ads Data'!A2:A366)=6)*('Google Ads Data'!E2:E366))</f>
        <v>710</v>
      </c>
      <c r="I7" s="4" t="s">
        <v>58</v>
      </c>
      <c r="J7" s="7">
        <f t="array" ref="J7">SUMPRODUCT((MONTH('Google Ads Data'!A2:A366)=6)*('Google Ads Data'!F2:F366))</f>
        <v>111327.35</v>
      </c>
      <c r="M7" s="3">
        <v>45266.0</v>
      </c>
      <c r="N7" s="8">
        <v>56666.0</v>
      </c>
      <c r="O7" s="4">
        <v>1688.0</v>
      </c>
      <c r="P7" s="5">
        <v>2684.94</v>
      </c>
      <c r="Q7" s="4">
        <v>23.0</v>
      </c>
      <c r="R7" s="5">
        <v>4456.33</v>
      </c>
      <c r="S7" s="7">
        <v>36583.8981042654</v>
      </c>
      <c r="T7" s="7">
        <v>1.5906042654028436</v>
      </c>
    </row>
    <row r="8" ht="15.75" customHeight="1">
      <c r="B8" s="4" t="s">
        <v>60</v>
      </c>
      <c r="C8" s="7">
        <f t="array" ref="C8">SUMPRODUCT((MONTH('Google Ads Data'!A2:A366)=7)*('Google Ads Data'!D2:D366))</f>
        <v>53040.79</v>
      </c>
      <c r="F8" s="4" t="s">
        <v>61</v>
      </c>
      <c r="G8" s="4">
        <f t="array" ref="G8">SUMPRODUCT((MONTH('Google Ads Data'!A2:A366)=7)*('Google Ads Data'!E2:E366))</f>
        <v>622</v>
      </c>
      <c r="I8" s="4" t="s">
        <v>60</v>
      </c>
      <c r="J8" s="7">
        <f t="array" ref="J8">SUMPRODUCT((MONTH('Google Ads Data'!A2:A366)=7)*('Google Ads Data'!F2:F366))</f>
        <v>96753.23</v>
      </c>
      <c r="M8" s="3">
        <v>45267.0</v>
      </c>
      <c r="N8" s="8">
        <v>71577.0</v>
      </c>
      <c r="O8" s="4">
        <v>1488.0</v>
      </c>
      <c r="P8" s="5">
        <v>2262.97</v>
      </c>
      <c r="Q8" s="4">
        <v>30.0</v>
      </c>
      <c r="R8" s="5">
        <v>4513.3</v>
      </c>
      <c r="S8" s="7">
        <v>45624.39516129032</v>
      </c>
      <c r="T8" s="7">
        <v>1.5208131720430107</v>
      </c>
    </row>
    <row r="9" ht="15.75" customHeight="1">
      <c r="B9" s="4" t="s">
        <v>62</v>
      </c>
      <c r="C9" s="7">
        <f t="array" ref="C9">SUMPRODUCT((MONTH('Google Ads Data'!A2:A366)=8)*('Google Ads Data'!D2:D366))</f>
        <v>49771.89</v>
      </c>
      <c r="F9" s="4" t="s">
        <v>63</v>
      </c>
      <c r="G9" s="4">
        <f t="array" ref="G9">SUMPRODUCT((MONTH('Google Ads Data'!A2:A366)=8)*('Google Ads Data'!E2:E366))</f>
        <v>594</v>
      </c>
      <c r="I9" s="4" t="s">
        <v>62</v>
      </c>
      <c r="J9" s="7">
        <f t="array" ref="J9">SUMPRODUCT((MONTH('Google Ads Data'!A2:A366)=8)*('Google Ads Data'!F2:F366))</f>
        <v>90231.35</v>
      </c>
      <c r="M9" s="3">
        <v>45268.0</v>
      </c>
      <c r="N9" s="8">
        <v>106918.0</v>
      </c>
      <c r="O9" s="4">
        <v>1666.0</v>
      </c>
      <c r="P9" s="5">
        <v>3319.16</v>
      </c>
      <c r="Q9" s="4">
        <v>32.0</v>
      </c>
      <c r="R9" s="5">
        <v>6472.86</v>
      </c>
      <c r="S9" s="7">
        <v>63753.37334933973</v>
      </c>
      <c r="T9" s="7">
        <v>1.9922929171668666</v>
      </c>
    </row>
    <row r="10" ht="15.75" customHeight="1">
      <c r="B10" s="4" t="s">
        <v>64</v>
      </c>
      <c r="C10" s="7">
        <f t="array" ref="C10">SUMPRODUCT((MONTH('Google Ads Data'!A2:A366)=9)*('Google Ads Data'!D2:D366))</f>
        <v>43201.98</v>
      </c>
      <c r="F10" s="4" t="s">
        <v>65</v>
      </c>
      <c r="G10" s="4">
        <f t="array" ref="G10">SUMPRODUCT((MONTH('Google Ads Data'!A2:A366)=9)*('Google Ads Data'!E2:E366))</f>
        <v>546</v>
      </c>
      <c r="I10" s="4" t="s">
        <v>64</v>
      </c>
      <c r="J10" s="7">
        <f t="array" ref="J10">SUMPRODUCT((MONTH('Google Ads Data'!A2:A366)=9)*('Google Ads Data'!F2:F366))</f>
        <v>87559.49</v>
      </c>
      <c r="M10" s="3">
        <v>45269.0</v>
      </c>
      <c r="N10" s="8">
        <v>71077.0</v>
      </c>
      <c r="O10" s="4">
        <v>1640.0</v>
      </c>
      <c r="P10" s="5">
        <v>2709.1</v>
      </c>
      <c r="Q10" s="4">
        <v>37.0</v>
      </c>
      <c r="R10" s="5">
        <v>4668.68</v>
      </c>
      <c r="S10" s="7">
        <v>61119.93902439024</v>
      </c>
      <c r="T10" s="7">
        <v>1.651890243902439</v>
      </c>
    </row>
    <row r="11" ht="15.75" customHeight="1">
      <c r="B11" s="4" t="s">
        <v>66</v>
      </c>
      <c r="C11" s="7">
        <f t="array" ref="C11">SUMPRODUCT((MONTH('Google Ads Data'!A2:A366)=10)*('Google Ads Data'!D2:D366))</f>
        <v>50083.93</v>
      </c>
      <c r="F11" s="4" t="s">
        <v>67</v>
      </c>
      <c r="G11" s="4">
        <f t="array" ref="G11">SUMPRODUCT((MONTH('Google Ads Data'!A2:A366)=10)*('Google Ads Data'!E2:E366))</f>
        <v>707</v>
      </c>
      <c r="I11" s="4" t="s">
        <v>66</v>
      </c>
      <c r="J11" s="7">
        <f t="array" ref="J11">SUMPRODUCT((MONTH('Google Ads Data'!A2:A366)=10)*('Google Ads Data'!F2:F366))</f>
        <v>103494.6</v>
      </c>
      <c r="M11" s="3">
        <v>45270.0</v>
      </c>
      <c r="N11" s="8">
        <v>44348.0</v>
      </c>
      <c r="O11" s="4">
        <v>828.0</v>
      </c>
      <c r="P11" s="5">
        <v>1559.09</v>
      </c>
      <c r="Q11" s="4">
        <v>12.0</v>
      </c>
      <c r="R11" s="5">
        <v>1512.65</v>
      </c>
      <c r="S11" s="7">
        <v>22595.507246376812</v>
      </c>
      <c r="T11" s="7">
        <v>1.8829589371980675</v>
      </c>
    </row>
    <row r="12" ht="15.75" customHeight="1">
      <c r="B12" s="4" t="s">
        <v>68</v>
      </c>
      <c r="C12" s="7">
        <f t="array" ref="C12">SUMPRODUCT((MONTH('Google Ads Data'!A2:A366)=11)*('Google Ads Data'!D2:D366))</f>
        <v>43304.72</v>
      </c>
      <c r="F12" s="4" t="s">
        <v>69</v>
      </c>
      <c r="G12" s="4">
        <f t="array" ref="G12">SUMPRODUCT((MONTH('Google Ads Data'!A2:A366)=11)*('Google Ads Data'!E2:E366))</f>
        <v>567</v>
      </c>
      <c r="I12" s="4" t="s">
        <v>68</v>
      </c>
      <c r="J12" s="7">
        <f t="array" ref="J12">SUMPRODUCT((MONTH('Google Ads Data'!A2:A366)=11)*('Google Ads Data'!F2:F366))</f>
        <v>88827.33</v>
      </c>
      <c r="M12" s="3">
        <v>45271.0</v>
      </c>
      <c r="N12" s="8">
        <v>64166.0</v>
      </c>
      <c r="O12" s="4">
        <v>756.0</v>
      </c>
      <c r="P12" s="5">
        <v>1484.03</v>
      </c>
      <c r="Q12" s="4">
        <v>9.0</v>
      </c>
      <c r="R12" s="5">
        <v>1864.73</v>
      </c>
      <c r="S12" s="7">
        <v>17667.02380952381</v>
      </c>
      <c r="T12" s="7">
        <v>1.9630026455026455</v>
      </c>
    </row>
    <row r="13" ht="15.75" customHeight="1">
      <c r="B13" s="4" t="s">
        <v>70</v>
      </c>
      <c r="C13" s="7">
        <f t="array" ref="C13">SUMPRODUCT((MONTH('Google Ads Data'!A2:A366)=12)*('Google Ads Data'!D2:D366))</f>
        <v>70220.29</v>
      </c>
      <c r="F13" s="4" t="s">
        <v>71</v>
      </c>
      <c r="G13" s="4">
        <f t="array" ref="G13">SUMPRODUCT((MONTH('Google Ads Data'!A2:A366)=12)*('Google Ads Data'!E2:E366))</f>
        <v>829</v>
      </c>
      <c r="I13" s="4" t="s">
        <v>70</v>
      </c>
      <c r="J13" s="7">
        <f t="array" ref="J13">SUMPRODUCT((MONTH('Google Ads Data'!A2:A366)=12)*('Google Ads Data'!F2:F366))</f>
        <v>132569.52</v>
      </c>
      <c r="M13" s="3">
        <v>45272.0</v>
      </c>
      <c r="N13" s="8">
        <v>34386.0</v>
      </c>
      <c r="O13" s="4">
        <v>343.0</v>
      </c>
      <c r="P13" s="5">
        <v>587.99</v>
      </c>
      <c r="Q13" s="4">
        <v>4.0</v>
      </c>
      <c r="R13" s="5">
        <v>570.53</v>
      </c>
      <c r="S13" s="7">
        <v>6857.026239067055</v>
      </c>
      <c r="T13" s="7">
        <v>1.7142565597667638</v>
      </c>
    </row>
    <row r="14" ht="15.75" customHeight="1">
      <c r="M14" s="3">
        <v>45273.0</v>
      </c>
      <c r="N14" s="8">
        <v>110153.0</v>
      </c>
      <c r="O14" s="4">
        <v>2224.0</v>
      </c>
      <c r="P14" s="5">
        <v>3293.13</v>
      </c>
      <c r="Q14" s="4">
        <v>50.0</v>
      </c>
      <c r="R14" s="5">
        <v>6037.11</v>
      </c>
      <c r="S14" s="7">
        <v>74036.19604316546</v>
      </c>
      <c r="T14" s="7">
        <v>1.4807239208633094</v>
      </c>
    </row>
    <row r="15" ht="15.75" customHeight="1">
      <c r="B15" s="26" t="s">
        <v>72</v>
      </c>
      <c r="C15" s="7">
        <f>MAX(C2:C13)</f>
        <v>70220.29</v>
      </c>
      <c r="F15" s="26" t="s">
        <v>73</v>
      </c>
      <c r="G15" s="4">
        <f>MAX(G2:G13)</f>
        <v>829</v>
      </c>
      <c r="I15" s="26" t="s">
        <v>74</v>
      </c>
      <c r="J15" s="7">
        <f>MAX(J2:J13)</f>
        <v>132569.52</v>
      </c>
      <c r="M15" s="3">
        <v>45274.0</v>
      </c>
      <c r="N15" s="8">
        <v>24831.0</v>
      </c>
      <c r="O15" s="4">
        <v>741.0</v>
      </c>
      <c r="P15" s="5">
        <v>1336.38</v>
      </c>
      <c r="Q15" s="4">
        <v>11.0</v>
      </c>
      <c r="R15" s="5">
        <v>2178.33</v>
      </c>
      <c r="S15" s="7">
        <v>19838.299595141703</v>
      </c>
      <c r="T15" s="7">
        <v>1.8034817813765183</v>
      </c>
    </row>
    <row r="16" ht="15.75" customHeight="1">
      <c r="F16" s="26" t="s">
        <v>75</v>
      </c>
      <c r="G16" s="27">
        <f>AVERAGE('Paid Reporting'!E336:E366)</f>
        <v>163.6700003</v>
      </c>
      <c r="M16" s="3">
        <v>45275.0</v>
      </c>
      <c r="N16" s="8">
        <v>108166.0</v>
      </c>
      <c r="O16" s="4">
        <v>3006.0</v>
      </c>
      <c r="P16" s="5">
        <v>4931.5</v>
      </c>
      <c r="Q16" s="4">
        <v>59.0</v>
      </c>
      <c r="R16" s="5">
        <v>6134.31</v>
      </c>
      <c r="S16" s="7">
        <v>96792.58150365937</v>
      </c>
      <c r="T16" s="7">
        <v>1.6405522288755823</v>
      </c>
    </row>
    <row r="17" ht="15.75" customHeight="1">
      <c r="M17" s="3">
        <v>45276.0</v>
      </c>
      <c r="N17" s="8">
        <v>91150.0</v>
      </c>
      <c r="O17" s="4">
        <v>2488.0</v>
      </c>
      <c r="P17" s="5">
        <v>3110.49</v>
      </c>
      <c r="Q17" s="4">
        <v>54.0</v>
      </c>
      <c r="R17" s="5">
        <v>10849.4</v>
      </c>
      <c r="S17" s="7">
        <v>67510.6350482315</v>
      </c>
      <c r="T17" s="7">
        <v>1.2501969453376205</v>
      </c>
    </row>
    <row r="18" ht="15.75" customHeight="1">
      <c r="B18" s="28"/>
      <c r="M18" s="3">
        <v>45277.0</v>
      </c>
      <c r="N18" s="8">
        <v>46523.0</v>
      </c>
      <c r="O18" s="4">
        <v>673.0</v>
      </c>
      <c r="P18" s="5">
        <v>1018.62</v>
      </c>
      <c r="Q18" s="4">
        <v>9.0</v>
      </c>
      <c r="R18" s="5">
        <v>1679.71</v>
      </c>
      <c r="S18" s="7">
        <v>13621.961367013371</v>
      </c>
      <c r="T18" s="7">
        <v>1.5135512630014858</v>
      </c>
    </row>
    <row r="19" ht="15.75" customHeight="1">
      <c r="B19" s="28"/>
      <c r="M19" s="3">
        <v>45278.0</v>
      </c>
      <c r="N19" s="8">
        <v>98159.0</v>
      </c>
      <c r="O19" s="4">
        <v>1648.0</v>
      </c>
      <c r="P19" s="5">
        <v>2720.97</v>
      </c>
      <c r="Q19" s="4">
        <v>32.0</v>
      </c>
      <c r="R19" s="5">
        <v>5568.58</v>
      </c>
      <c r="S19" s="7">
        <v>52834.36893203883</v>
      </c>
      <c r="T19" s="7">
        <v>1.6510740291262134</v>
      </c>
    </row>
    <row r="20" ht="15.75" customHeight="1">
      <c r="M20" s="3">
        <v>45279.0</v>
      </c>
      <c r="N20" s="8">
        <v>83588.0</v>
      </c>
      <c r="O20" s="4">
        <v>2448.0</v>
      </c>
      <c r="P20" s="5">
        <v>3894.11</v>
      </c>
      <c r="Q20" s="4">
        <v>36.0</v>
      </c>
      <c r="R20" s="5">
        <v>5171.08</v>
      </c>
      <c r="S20" s="7">
        <v>57266.32352941176</v>
      </c>
      <c r="T20" s="7">
        <v>1.590731209150327</v>
      </c>
    </row>
    <row r="21" ht="15.75" customHeight="1">
      <c r="M21" s="3">
        <v>45280.0</v>
      </c>
      <c r="N21" s="8">
        <v>104190.0</v>
      </c>
      <c r="O21" s="4">
        <v>2719.0</v>
      </c>
      <c r="P21" s="5">
        <v>3562.36</v>
      </c>
      <c r="Q21" s="4">
        <v>34.0</v>
      </c>
      <c r="R21" s="5">
        <v>5797.67</v>
      </c>
      <c r="S21" s="7">
        <v>44545.877160720855</v>
      </c>
      <c r="T21" s="7">
        <v>1.3101728576682605</v>
      </c>
    </row>
    <row r="22" ht="15.75" customHeight="1">
      <c r="M22" s="3">
        <v>45281.0</v>
      </c>
      <c r="N22" s="8">
        <v>24959.0</v>
      </c>
      <c r="O22" s="4">
        <v>274.0</v>
      </c>
      <c r="P22" s="5">
        <v>381.62</v>
      </c>
      <c r="Q22" s="4">
        <v>4.0</v>
      </c>
      <c r="R22" s="5">
        <v>832.87</v>
      </c>
      <c r="S22" s="7">
        <v>5571.094890510949</v>
      </c>
      <c r="T22" s="7">
        <v>1.3927737226277372</v>
      </c>
    </row>
    <row r="23" ht="15.75" customHeight="1">
      <c r="M23" s="3">
        <v>45282.0</v>
      </c>
      <c r="N23" s="8">
        <v>67027.0</v>
      </c>
      <c r="O23" s="4">
        <v>1058.0</v>
      </c>
      <c r="P23" s="5">
        <v>1313.19</v>
      </c>
      <c r="Q23" s="4">
        <v>15.0</v>
      </c>
      <c r="R23" s="5">
        <v>1810.3</v>
      </c>
      <c r="S23" s="7">
        <v>18618.005671077506</v>
      </c>
      <c r="T23" s="7">
        <v>1.2412003780718337</v>
      </c>
    </row>
    <row r="24" ht="15.75" customHeight="1">
      <c r="J24" s="5"/>
      <c r="M24" s="3">
        <v>45283.0</v>
      </c>
      <c r="N24" s="8">
        <v>70871.0</v>
      </c>
      <c r="O24" s="4">
        <v>757.0</v>
      </c>
      <c r="P24" s="5">
        <v>1145.06</v>
      </c>
      <c r="Q24" s="4">
        <v>17.0</v>
      </c>
      <c r="R24" s="5">
        <v>3138.07</v>
      </c>
      <c r="S24" s="7">
        <v>25714.689564068693</v>
      </c>
      <c r="T24" s="7">
        <v>1.5126287978863935</v>
      </c>
    </row>
    <row r="25" ht="15.75" customHeight="1">
      <c r="J25" s="5"/>
      <c r="M25" s="3">
        <v>45284.0</v>
      </c>
      <c r="N25" s="8">
        <v>80032.0</v>
      </c>
      <c r="O25" s="4">
        <v>1728.0</v>
      </c>
      <c r="P25" s="5">
        <v>2264.58</v>
      </c>
      <c r="Q25" s="4">
        <v>31.0</v>
      </c>
      <c r="R25" s="5">
        <v>4202.44</v>
      </c>
      <c r="S25" s="7">
        <v>40626.145833333336</v>
      </c>
      <c r="T25" s="7">
        <v>1.3105208333333334</v>
      </c>
    </row>
    <row r="26" ht="15.75" customHeight="1">
      <c r="J26" s="5"/>
      <c r="M26" s="3">
        <v>45285.0</v>
      </c>
      <c r="N26" s="8">
        <v>108915.0</v>
      </c>
      <c r="O26" s="4">
        <v>1317.0</v>
      </c>
      <c r="P26" s="5">
        <v>1436.48</v>
      </c>
      <c r="Q26" s="4">
        <v>23.0</v>
      </c>
      <c r="R26" s="5">
        <v>2933.97</v>
      </c>
      <c r="S26" s="7">
        <v>25086.5907365224</v>
      </c>
      <c r="T26" s="7">
        <v>1.090721336370539</v>
      </c>
    </row>
    <row r="27" ht="15.75" customHeight="1">
      <c r="J27" s="5"/>
      <c r="M27" s="3">
        <v>45286.0</v>
      </c>
      <c r="N27" s="8">
        <v>31756.0</v>
      </c>
      <c r="O27" s="4">
        <v>574.0</v>
      </c>
      <c r="P27" s="5">
        <v>695.48</v>
      </c>
      <c r="Q27" s="4">
        <v>8.0</v>
      </c>
      <c r="R27" s="5">
        <v>1455.92</v>
      </c>
      <c r="S27" s="7">
        <v>9693.101045296167</v>
      </c>
      <c r="T27" s="7">
        <v>1.211637630662021</v>
      </c>
    </row>
    <row r="28" ht="15.75" customHeight="1">
      <c r="J28" s="5"/>
      <c r="M28" s="3">
        <v>45287.0</v>
      </c>
      <c r="N28" s="8">
        <v>95173.0</v>
      </c>
      <c r="O28" s="4">
        <v>2150.0</v>
      </c>
      <c r="P28" s="5">
        <v>2516.56</v>
      </c>
      <c r="Q28" s="4">
        <v>29.0</v>
      </c>
      <c r="R28" s="5">
        <v>4613.7</v>
      </c>
      <c r="S28" s="7">
        <v>33944.29767441861</v>
      </c>
      <c r="T28" s="7">
        <v>1.170493023255814</v>
      </c>
    </row>
    <row r="29" ht="15.75" customHeight="1">
      <c r="J29" s="5"/>
      <c r="M29" s="3">
        <v>45288.0</v>
      </c>
      <c r="N29" s="8">
        <v>100035.0</v>
      </c>
      <c r="O29" s="4">
        <v>2290.0</v>
      </c>
      <c r="P29" s="5">
        <v>3894.35</v>
      </c>
      <c r="Q29" s="4">
        <v>39.0</v>
      </c>
      <c r="R29" s="5">
        <v>6374.15</v>
      </c>
      <c r="S29" s="7">
        <v>66322.99126637554</v>
      </c>
      <c r="T29" s="7">
        <v>1.700589519650655</v>
      </c>
    </row>
    <row r="30" ht="15.75" customHeight="1">
      <c r="J30" s="5"/>
      <c r="M30" s="3">
        <v>45289.0</v>
      </c>
      <c r="N30" s="8">
        <v>59646.0</v>
      </c>
      <c r="O30" s="4">
        <v>1067.0</v>
      </c>
      <c r="P30" s="5">
        <v>1163.75</v>
      </c>
      <c r="Q30" s="4">
        <v>14.0</v>
      </c>
      <c r="R30" s="5">
        <v>1546.4</v>
      </c>
      <c r="S30" s="7">
        <v>15269.447047797563</v>
      </c>
      <c r="T30" s="7">
        <v>1.0906747891283974</v>
      </c>
    </row>
    <row r="31" ht="15.75" customHeight="1">
      <c r="J31" s="5"/>
      <c r="M31" s="3">
        <v>45290.0</v>
      </c>
      <c r="N31" s="8">
        <v>47837.0</v>
      </c>
      <c r="O31" s="4">
        <v>1166.0</v>
      </c>
      <c r="P31" s="5">
        <v>1750.83</v>
      </c>
      <c r="Q31" s="4">
        <v>21.0</v>
      </c>
      <c r="R31" s="5">
        <v>3860.58</v>
      </c>
      <c r="S31" s="7">
        <v>31532.95883361921</v>
      </c>
      <c r="T31" s="7">
        <v>1.5015694682675813</v>
      </c>
    </row>
    <row r="32" ht="15.75" customHeight="1">
      <c r="J32" s="5"/>
      <c r="M32" s="3">
        <v>45291.0</v>
      </c>
      <c r="N32" s="8">
        <v>88825.0</v>
      </c>
      <c r="O32" s="4">
        <v>2184.0</v>
      </c>
      <c r="P32" s="5">
        <v>2425.44</v>
      </c>
      <c r="Q32" s="4">
        <v>38.0</v>
      </c>
      <c r="R32" s="5">
        <v>5801.42</v>
      </c>
      <c r="S32" s="7">
        <v>42200.87912087912</v>
      </c>
      <c r="T32" s="7">
        <v>1.1105494505494506</v>
      </c>
    </row>
    <row r="33" ht="15.75" customHeight="1">
      <c r="J33" s="5"/>
      <c r="M33" s="26" t="s">
        <v>76</v>
      </c>
      <c r="S33" s="29">
        <f>SUM(S2:S32)</f>
        <v>1238000.249</v>
      </c>
    </row>
    <row r="34" ht="15.75" customHeight="1">
      <c r="J34" s="5"/>
      <c r="M34" s="26" t="s">
        <v>77</v>
      </c>
      <c r="T34" s="29">
        <f>SUM(T2:T32)</f>
        <v>46.61625595</v>
      </c>
    </row>
    <row r="35" ht="15.75" customHeight="1">
      <c r="J35" s="5"/>
    </row>
    <row r="36" ht="15.75" customHeight="1">
      <c r="J36" s="5"/>
    </row>
    <row r="37" ht="15.75" customHeight="1">
      <c r="J37" s="5"/>
    </row>
    <row r="38" ht="15.75" customHeight="1">
      <c r="J38" s="5"/>
    </row>
    <row r="39" ht="15.75" customHeight="1">
      <c r="J39" s="5"/>
    </row>
    <row r="40" ht="15.75" customHeight="1">
      <c r="J40" s="5"/>
    </row>
    <row r="41" ht="15.75" customHeight="1">
      <c r="J41" s="5"/>
    </row>
    <row r="42" ht="15.75" customHeight="1">
      <c r="J42" s="5"/>
    </row>
    <row r="43" ht="15.75" customHeight="1">
      <c r="J43" s="5"/>
    </row>
    <row r="44" ht="15.75" customHeight="1">
      <c r="J44" s="5"/>
    </row>
    <row r="45" ht="15.75" customHeight="1">
      <c r="J45" s="5"/>
    </row>
    <row r="46" ht="15.75" customHeight="1">
      <c r="J46" s="5"/>
    </row>
    <row r="47" ht="15.75" customHeight="1">
      <c r="J47" s="5"/>
    </row>
    <row r="48" ht="15.75" customHeight="1">
      <c r="J48" s="5"/>
    </row>
    <row r="49" ht="15.75" customHeight="1">
      <c r="J49" s="5"/>
    </row>
    <row r="50" ht="15.75" customHeight="1">
      <c r="J50" s="5"/>
    </row>
    <row r="51" ht="15.75" customHeight="1">
      <c r="J51" s="5"/>
    </row>
    <row r="52" ht="15.75" customHeight="1">
      <c r="J52" s="5"/>
    </row>
    <row r="53" ht="15.75" customHeight="1">
      <c r="J53" s="5"/>
    </row>
    <row r="54" ht="15.75" customHeight="1">
      <c r="J54" s="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F1:G1"/>
    <mergeCell ref="I1:J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.78"/>
    <col customWidth="1" min="3" max="3" width="10.56"/>
    <col customWidth="1" min="4" max="4" width="12.11"/>
    <col customWidth="1" min="5" max="7" width="10.56"/>
    <col customWidth="1" min="8" max="8" width="12.11"/>
    <col customWidth="1" min="9" max="11" width="10.56"/>
    <col customWidth="1" min="12" max="12" width="12.44"/>
    <col customWidth="1" min="13" max="13" width="16.67"/>
    <col customWidth="1" min="14" max="14" width="18.78"/>
    <col customWidth="1" min="15" max="26" width="10.56"/>
  </cols>
  <sheetData>
    <row r="1" ht="15.75" customHeight="1">
      <c r="B1" s="30" t="s">
        <v>0</v>
      </c>
      <c r="C1" s="30" t="s">
        <v>2</v>
      </c>
      <c r="D1" s="1" t="s">
        <v>1</v>
      </c>
      <c r="F1" s="30" t="s">
        <v>78</v>
      </c>
      <c r="G1" s="30" t="s">
        <v>79</v>
      </c>
      <c r="H1" s="1" t="s">
        <v>1</v>
      </c>
      <c r="I1" s="1" t="s">
        <v>34</v>
      </c>
      <c r="J1" s="30" t="s">
        <v>80</v>
      </c>
      <c r="L1" s="30" t="s">
        <v>78</v>
      </c>
      <c r="M1" s="30" t="s">
        <v>81</v>
      </c>
      <c r="N1" s="30" t="s">
        <v>82</v>
      </c>
    </row>
    <row r="2" ht="15.75" customHeight="1">
      <c r="B2" s="3">
        <v>44927.0</v>
      </c>
      <c r="C2" s="4">
        <v>522.0</v>
      </c>
      <c r="D2" s="4">
        <v>26268.0</v>
      </c>
      <c r="F2" s="4" t="s">
        <v>48</v>
      </c>
      <c r="G2" s="31">
        <f t="array" ref="G2">SUMPRODUCT((MONTH(B2:B366)=1)*(C2:C366))</f>
        <v>32482</v>
      </c>
      <c r="H2" s="31">
        <f t="array" ref="H2">SUMPRODUCT((MONTH(B2:B366)=1)*(D2:D366))</f>
        <v>1740359</v>
      </c>
      <c r="I2" s="7">
        <f>'Google Ads Data'!F340/'Google Ads Data'!D340</f>
        <v>1.948060176</v>
      </c>
      <c r="J2" s="20">
        <v>52790.73999999999</v>
      </c>
      <c r="L2" s="4" t="s">
        <v>48</v>
      </c>
      <c r="M2" s="20">
        <v>52790.73999999999</v>
      </c>
      <c r="N2" s="20">
        <v>40308.59000000001</v>
      </c>
    </row>
    <row r="3" ht="15.75" customHeight="1">
      <c r="B3" s="3">
        <v>44928.0</v>
      </c>
      <c r="C3" s="8">
        <v>1579.0</v>
      </c>
      <c r="D3" s="4">
        <v>92883.0</v>
      </c>
      <c r="F3" s="4" t="s">
        <v>50</v>
      </c>
      <c r="G3" s="31">
        <f t="array" ref="G3">SUMPRODUCT((MONTH(B2:B366)=2)*(C2:C366))</f>
        <v>31492</v>
      </c>
      <c r="H3" s="31">
        <f t="array" ref="H3">SUMPRODUCT((MONTH(B2:B366)=2)*(D2:D366))</f>
        <v>1595624</v>
      </c>
      <c r="I3" s="7">
        <f>'Google Ads Data'!F341/'Google Ads Data'!D341</f>
        <v>1.659750311</v>
      </c>
      <c r="J3" s="20">
        <v>46484.560000000005</v>
      </c>
      <c r="L3" s="4" t="s">
        <v>50</v>
      </c>
      <c r="M3" s="20">
        <v>46484.560000000005</v>
      </c>
      <c r="N3" s="20">
        <v>37652.50000000001</v>
      </c>
    </row>
    <row r="4" ht="15.75" customHeight="1">
      <c r="B4" s="3">
        <v>44929.0</v>
      </c>
      <c r="C4" s="4">
        <v>276.0</v>
      </c>
      <c r="D4" s="4">
        <v>14955.0</v>
      </c>
      <c r="F4" s="4" t="s">
        <v>52</v>
      </c>
      <c r="G4" s="31">
        <f t="array" ref="G4">SUMPRODUCT((MONTH(B2:B366)=3)*(C2:C366))</f>
        <v>31976</v>
      </c>
      <c r="H4" s="31">
        <f t="array" ref="H4">SUMPRODUCT((MONTH(B2:B366)=3)*(D2:D366))</f>
        <v>1563829</v>
      </c>
      <c r="I4" s="7">
        <f>'Google Ads Data'!F342/'Google Ads Data'!D342</f>
        <v>1.99441442</v>
      </c>
      <c r="J4" s="20">
        <v>46468.54</v>
      </c>
      <c r="L4" s="4" t="s">
        <v>52</v>
      </c>
      <c r="M4" s="20">
        <v>46468.54</v>
      </c>
      <c r="N4" s="20">
        <v>37639.529999999984</v>
      </c>
    </row>
    <row r="5" ht="15.75" customHeight="1">
      <c r="B5" s="3">
        <v>44930.0</v>
      </c>
      <c r="C5" s="4">
        <v>702.0</v>
      </c>
      <c r="D5" s="4">
        <v>41109.0</v>
      </c>
      <c r="F5" s="4" t="s">
        <v>54</v>
      </c>
      <c r="G5" s="31">
        <f t="array" ref="G5">SUMPRODUCT((MONTH(B2:B366)=4)*(C2:C366))</f>
        <v>37422</v>
      </c>
      <c r="H5" s="31">
        <f t="array" ref="H5">SUMPRODUCT((MONTH(B2:B366)=4)*(D2:D366))</f>
        <v>1946153</v>
      </c>
      <c r="I5" s="7">
        <f>'Google Ads Data'!F343/'Google Ads Data'!D343</f>
        <v>1.950150038</v>
      </c>
      <c r="J5" s="20">
        <v>59350.630000000005</v>
      </c>
      <c r="L5" s="4" t="s">
        <v>54</v>
      </c>
      <c r="M5" s="20">
        <v>59350.630000000005</v>
      </c>
      <c r="N5" s="20">
        <v>48074.0</v>
      </c>
    </row>
    <row r="6" ht="15.75" customHeight="1">
      <c r="B6" s="3">
        <v>44931.0</v>
      </c>
      <c r="C6" s="4">
        <v>554.0</v>
      </c>
      <c r="D6" s="4">
        <v>37989.0</v>
      </c>
      <c r="F6" s="4" t="s">
        <v>56</v>
      </c>
      <c r="G6" s="31">
        <f t="array" ref="G6">SUMPRODUCT((MONTH(B2:B366)=5)*(C2:C366))</f>
        <v>36132</v>
      </c>
      <c r="H6" s="31">
        <f t="array" ref="H6">SUMPRODUCT((MONTH(B2:B366)=5)*(D2:D366))</f>
        <v>1829119</v>
      </c>
      <c r="I6" s="7">
        <f>'Google Ads Data'!F344/'Google Ads Data'!D344</f>
        <v>1.723332472</v>
      </c>
      <c r="J6" s="20">
        <v>57028.76999999999</v>
      </c>
      <c r="L6" s="4" t="s">
        <v>56</v>
      </c>
      <c r="M6" s="20">
        <v>57028.76999999999</v>
      </c>
      <c r="N6" s="20">
        <v>46193.31</v>
      </c>
    </row>
    <row r="7" ht="15.75" customHeight="1">
      <c r="B7" s="3">
        <v>44932.0</v>
      </c>
      <c r="C7" s="8">
        <v>1085.0</v>
      </c>
      <c r="D7" s="4">
        <v>61008.0</v>
      </c>
      <c r="F7" s="4" t="s">
        <v>58</v>
      </c>
      <c r="G7" s="31">
        <f t="array" ref="G7">SUMPRODUCT((MONTH(B2:B366)=6)*(C2:C366))</f>
        <v>37280</v>
      </c>
      <c r="H7" s="31">
        <f t="array" ref="H7">SUMPRODUCT((MONTH(B2:B366)=6)*(D2:D366))</f>
        <v>1734777</v>
      </c>
      <c r="I7" s="7">
        <f>'Google Ads Data'!F345/'Google Ads Data'!D345</f>
        <v>0.9702133937</v>
      </c>
      <c r="J7" s="20">
        <v>57115.36999999999</v>
      </c>
      <c r="L7" s="4" t="s">
        <v>58</v>
      </c>
      <c r="M7" s="20">
        <v>57115.36999999999</v>
      </c>
      <c r="N7" s="20">
        <v>46263.44000000001</v>
      </c>
    </row>
    <row r="8" ht="15.75" customHeight="1">
      <c r="B8" s="3">
        <v>44933.0</v>
      </c>
      <c r="C8" s="8">
        <v>1246.0</v>
      </c>
      <c r="D8" s="4">
        <v>45181.0</v>
      </c>
      <c r="F8" s="4" t="s">
        <v>60</v>
      </c>
      <c r="G8" s="31">
        <f t="array" ref="G8">SUMPRODUCT((MONTH(B2:B366)=7)*(C2:C366))</f>
        <v>35464</v>
      </c>
      <c r="H8" s="31">
        <f t="array" ref="H8">SUMPRODUCT((MONTH(B2:B366)=7)*(D2:D366))</f>
        <v>1648050</v>
      </c>
      <c r="I8" s="7">
        <f>'Google Ads Data'!F346/'Google Ads Data'!D346</f>
        <v>1.256531202</v>
      </c>
      <c r="J8" s="20">
        <v>53040.79000000001</v>
      </c>
      <c r="L8" s="4" t="s">
        <v>60</v>
      </c>
      <c r="M8" s="20">
        <v>53040.79000000001</v>
      </c>
      <c r="N8" s="20">
        <v>45805.46000000001</v>
      </c>
    </row>
    <row r="9" ht="15.75" customHeight="1">
      <c r="B9" s="3">
        <v>44934.0</v>
      </c>
      <c r="C9" s="4">
        <v>395.0</v>
      </c>
      <c r="D9" s="4">
        <v>39529.0</v>
      </c>
      <c r="F9" s="4" t="s">
        <v>62</v>
      </c>
      <c r="G9" s="31">
        <f t="array" ref="G9">SUMPRODUCT((MONTH(B2:B366)=8)*(C2:C366))</f>
        <v>32685</v>
      </c>
      <c r="H9" s="31">
        <f t="array" ref="H9">SUMPRODUCT((MONTH(B2:B366)=8)*(D2:D366))</f>
        <v>1668702</v>
      </c>
      <c r="I9" s="7">
        <f>'Google Ads Data'!F347/'Google Ads Data'!D347</f>
        <v>0.9703056174</v>
      </c>
      <c r="J9" s="20">
        <v>49771.89</v>
      </c>
      <c r="L9" s="4" t="s">
        <v>62</v>
      </c>
      <c r="M9" s="20">
        <v>49771.89</v>
      </c>
      <c r="N9" s="20">
        <v>44346.76</v>
      </c>
    </row>
    <row r="10" ht="15.75" customHeight="1">
      <c r="B10" s="3">
        <v>44935.0</v>
      </c>
      <c r="C10" s="8">
        <v>1724.0</v>
      </c>
      <c r="D10" s="4">
        <v>84110.0</v>
      </c>
      <c r="F10" s="4" t="s">
        <v>64</v>
      </c>
      <c r="G10" s="31">
        <f t="array" ref="G10">SUMPRODUCT((MONTH(B2:B366)=9)*(C2:C366))</f>
        <v>29053</v>
      </c>
      <c r="H10" s="31">
        <f t="array" ref="H10">SUMPRODUCT((MONTH(B2:B366)=9)*(D2:D366))</f>
        <v>1515813</v>
      </c>
      <c r="I10" s="7">
        <f>'Google Ads Data'!F348/'Google Ads Data'!D348</f>
        <v>1.833243753</v>
      </c>
      <c r="J10" s="20">
        <v>43201.97999999999</v>
      </c>
      <c r="L10" s="4" t="s">
        <v>64</v>
      </c>
      <c r="M10" s="20">
        <v>43201.97999999999</v>
      </c>
      <c r="N10" s="20">
        <v>34993.62</v>
      </c>
    </row>
    <row r="11" ht="15.75" customHeight="1">
      <c r="B11" s="3">
        <v>44936.0</v>
      </c>
      <c r="C11" s="8">
        <v>1312.0</v>
      </c>
      <c r="D11" s="4">
        <v>70925.0</v>
      </c>
      <c r="F11" s="4" t="s">
        <v>66</v>
      </c>
      <c r="G11" s="31">
        <f t="array" ref="G11">SUMPRODUCT((MONTH(B2:B366)=10)*(C2:C366))</f>
        <v>36497</v>
      </c>
      <c r="H11" s="31">
        <f t="array" ref="H11">SUMPRODUCT((MONTH(B2:B366)=10)*(D2:D366))</f>
        <v>1799182</v>
      </c>
      <c r="I11" s="7">
        <f>'Google Ads Data'!F349/'Google Ads Data'!D349</f>
        <v>1.630022898</v>
      </c>
      <c r="J11" s="20">
        <v>50083.93</v>
      </c>
      <c r="L11" s="4" t="s">
        <v>66</v>
      </c>
      <c r="M11" s="20">
        <v>50083.93</v>
      </c>
      <c r="N11" s="20">
        <v>40568.02000000002</v>
      </c>
    </row>
    <row r="12" ht="15.75" customHeight="1">
      <c r="B12" s="3">
        <v>44937.0</v>
      </c>
      <c r="C12" s="4">
        <v>783.0</v>
      </c>
      <c r="D12" s="4">
        <v>78307.0</v>
      </c>
      <c r="F12" s="4" t="s">
        <v>68</v>
      </c>
      <c r="G12" s="31">
        <f t="array" ref="G12">SUMPRODUCT((MONTH(B2:B366)=11)*(C2:C366))</f>
        <v>30981</v>
      </c>
      <c r="H12" s="31">
        <f t="array" ref="H12">SUMPRODUCT((MONTH(B2:B366)=11)*(D2:D366))</f>
        <v>1562221</v>
      </c>
      <c r="I12" s="7">
        <f>'Google Ads Data'!F350/'Google Ads Data'!D350</f>
        <v>1.243903478</v>
      </c>
      <c r="J12" s="20">
        <v>43304.72</v>
      </c>
      <c r="L12" s="4" t="s">
        <v>68</v>
      </c>
      <c r="M12" s="20">
        <v>43304.72</v>
      </c>
      <c r="N12" s="20">
        <v>35076.80000000001</v>
      </c>
    </row>
    <row r="13" ht="15.75" customHeight="1">
      <c r="B13" s="3">
        <v>44938.0</v>
      </c>
      <c r="C13" s="8">
        <v>1265.0</v>
      </c>
      <c r="D13" s="4">
        <v>70313.0</v>
      </c>
      <c r="F13" s="4" t="s">
        <v>70</v>
      </c>
      <c r="G13" s="31">
        <f t="array" ref="G13">SUMPRODUCT((MONTH(B2:B366)=12)*(C2:C366))</f>
        <v>47450</v>
      </c>
      <c r="H13" s="31">
        <f t="array" ref="H13">SUMPRODUCT((MONTH(B2:B366)=12)*(D2:D366))</f>
        <v>2323911</v>
      </c>
      <c r="I13" s="7">
        <f>'Google Ads Data'!F351/'Google Ads Data'!D351</f>
        <v>3.488003498</v>
      </c>
      <c r="J13" s="20">
        <v>70220.29000000002</v>
      </c>
      <c r="L13" s="4" t="s">
        <v>70</v>
      </c>
      <c r="M13" s="20">
        <v>70220.29000000002</v>
      </c>
      <c r="N13" s="20">
        <v>56878.4</v>
      </c>
    </row>
    <row r="14" ht="15.75" customHeight="1">
      <c r="B14" s="3">
        <v>44939.0</v>
      </c>
      <c r="C14" s="8">
        <v>1818.0</v>
      </c>
      <c r="D14" s="4">
        <v>93757.0</v>
      </c>
      <c r="L14" s="30" t="s">
        <v>83</v>
      </c>
      <c r="M14" s="20">
        <f t="shared" ref="M14:N14" si="1">SUM(M2:M13)</f>
        <v>628862.21</v>
      </c>
      <c r="N14" s="20">
        <f t="shared" si="1"/>
        <v>513800.43</v>
      </c>
    </row>
    <row r="15" ht="15.75" customHeight="1">
      <c r="B15" s="3">
        <v>44940.0</v>
      </c>
      <c r="C15" s="8">
        <v>1276.0</v>
      </c>
      <c r="D15" s="4">
        <v>69770.0</v>
      </c>
    </row>
    <row r="16" ht="15.75" customHeight="1">
      <c r="B16" s="3">
        <v>44941.0</v>
      </c>
      <c r="C16" s="8">
        <v>1879.0</v>
      </c>
      <c r="D16" s="4">
        <v>69622.0</v>
      </c>
    </row>
    <row r="17" ht="15.75" customHeight="1">
      <c r="B17" s="3">
        <v>44942.0</v>
      </c>
      <c r="C17" s="4">
        <v>583.0</v>
      </c>
      <c r="D17" s="4">
        <v>20474.0</v>
      </c>
    </row>
    <row r="18" ht="15.75" customHeight="1">
      <c r="B18" s="3">
        <v>44943.0</v>
      </c>
      <c r="C18" s="8">
        <v>2235.0</v>
      </c>
      <c r="D18" s="4">
        <v>99778.0</v>
      </c>
    </row>
    <row r="19" ht="15.75" customHeight="1">
      <c r="B19" s="3">
        <v>44944.0</v>
      </c>
      <c r="C19" s="8">
        <v>1619.0</v>
      </c>
      <c r="D19" s="4">
        <v>61824.0</v>
      </c>
    </row>
    <row r="20" ht="15.75" customHeight="1">
      <c r="B20" s="3">
        <v>44945.0</v>
      </c>
      <c r="C20" s="4">
        <v>773.0</v>
      </c>
      <c r="D20" s="4">
        <v>66138.0</v>
      </c>
    </row>
    <row r="21" ht="15.75" customHeight="1">
      <c r="B21" s="3">
        <v>44946.0</v>
      </c>
      <c r="C21" s="8">
        <v>1028.0</v>
      </c>
      <c r="D21" s="4">
        <v>72950.0</v>
      </c>
    </row>
    <row r="22" ht="15.75" customHeight="1">
      <c r="B22" s="3">
        <v>44947.0</v>
      </c>
      <c r="C22" s="8">
        <v>1513.0</v>
      </c>
      <c r="D22" s="4">
        <v>69746.0</v>
      </c>
    </row>
    <row r="23" ht="15.75" customHeight="1">
      <c r="B23" s="3">
        <v>44948.0</v>
      </c>
      <c r="C23" s="4">
        <v>508.0</v>
      </c>
      <c r="D23" s="4">
        <v>41036.0</v>
      </c>
    </row>
    <row r="24" ht="15.75" customHeight="1">
      <c r="B24" s="3">
        <v>44949.0</v>
      </c>
      <c r="C24" s="4">
        <v>159.0</v>
      </c>
      <c r="D24" s="4">
        <v>12284.0</v>
      </c>
    </row>
    <row r="25" ht="15.75" customHeight="1">
      <c r="B25" s="3">
        <v>44950.0</v>
      </c>
      <c r="C25" s="8">
        <v>1139.0</v>
      </c>
      <c r="D25" s="4">
        <v>67438.0</v>
      </c>
    </row>
    <row r="26" ht="15.75" customHeight="1">
      <c r="B26" s="3">
        <v>44951.0</v>
      </c>
      <c r="C26" s="8">
        <v>1235.0</v>
      </c>
      <c r="D26" s="4">
        <v>47354.0</v>
      </c>
    </row>
    <row r="27" ht="15.75" customHeight="1">
      <c r="B27" s="3">
        <v>44952.0</v>
      </c>
      <c r="C27" s="4">
        <v>322.0</v>
      </c>
      <c r="D27" s="4">
        <v>28310.0</v>
      </c>
    </row>
    <row r="28" ht="15.75" customHeight="1">
      <c r="B28" s="3">
        <v>44953.0</v>
      </c>
      <c r="C28" s="4">
        <v>394.0</v>
      </c>
      <c r="D28" s="4">
        <v>25310.0</v>
      </c>
    </row>
    <row r="29" ht="15.75" customHeight="1">
      <c r="B29" s="3">
        <v>44954.0</v>
      </c>
      <c r="C29" s="4">
        <v>734.0</v>
      </c>
      <c r="D29" s="4">
        <v>73481.0</v>
      </c>
    </row>
    <row r="30" ht="15.75" customHeight="1">
      <c r="B30" s="3">
        <v>44955.0</v>
      </c>
      <c r="C30" s="4">
        <v>734.0</v>
      </c>
      <c r="D30" s="4">
        <v>27514.0</v>
      </c>
    </row>
    <row r="31" ht="15.75" customHeight="1">
      <c r="B31" s="3">
        <v>44956.0</v>
      </c>
      <c r="C31" s="8">
        <v>1494.0</v>
      </c>
      <c r="D31" s="4">
        <v>51191.0</v>
      </c>
    </row>
    <row r="32" ht="15.75" customHeight="1">
      <c r="B32" s="3">
        <v>44957.0</v>
      </c>
      <c r="C32" s="8">
        <v>1596.0</v>
      </c>
      <c r="D32" s="4">
        <v>79805.0</v>
      </c>
    </row>
    <row r="33" ht="15.75" customHeight="1">
      <c r="B33" s="3">
        <v>44958.0</v>
      </c>
      <c r="C33" s="8">
        <v>2655.0</v>
      </c>
      <c r="D33" s="4">
        <v>98345.0</v>
      </c>
    </row>
    <row r="34" ht="15.75" customHeight="1">
      <c r="B34" s="3">
        <v>44959.0</v>
      </c>
      <c r="C34" s="4">
        <v>416.0</v>
      </c>
      <c r="D34" s="4">
        <v>32308.0</v>
      </c>
    </row>
    <row r="35" ht="15.75" customHeight="1">
      <c r="B35" s="3">
        <v>44960.0</v>
      </c>
      <c r="C35" s="4">
        <v>629.0</v>
      </c>
      <c r="D35" s="4">
        <v>25676.0</v>
      </c>
    </row>
    <row r="36" ht="15.75" customHeight="1">
      <c r="B36" s="3">
        <v>44961.0</v>
      </c>
      <c r="C36" s="4">
        <v>409.0</v>
      </c>
      <c r="D36" s="4">
        <v>14162.0</v>
      </c>
    </row>
    <row r="37" ht="15.75" customHeight="1">
      <c r="B37" s="3">
        <v>44962.0</v>
      </c>
      <c r="C37" s="8">
        <v>2064.0</v>
      </c>
      <c r="D37" s="4">
        <v>75090.0</v>
      </c>
    </row>
    <row r="38" ht="15.75" customHeight="1">
      <c r="B38" s="3">
        <v>44963.0</v>
      </c>
      <c r="C38" s="8">
        <v>1003.0</v>
      </c>
      <c r="D38" s="4">
        <v>90438.0</v>
      </c>
    </row>
    <row r="39" ht="15.75" customHeight="1">
      <c r="B39" s="3">
        <v>44964.0</v>
      </c>
      <c r="C39" s="8">
        <v>2209.0</v>
      </c>
      <c r="D39" s="4">
        <v>85990.0</v>
      </c>
    </row>
    <row r="40" ht="15.75" customHeight="1">
      <c r="B40" s="3">
        <v>44965.0</v>
      </c>
      <c r="C40" s="4">
        <v>891.0</v>
      </c>
      <c r="D40" s="4">
        <v>81784.0</v>
      </c>
    </row>
    <row r="41" ht="15.75" customHeight="1">
      <c r="B41" s="3">
        <v>44966.0</v>
      </c>
      <c r="C41" s="8">
        <v>1547.0</v>
      </c>
      <c r="D41" s="4">
        <v>58169.0</v>
      </c>
    </row>
    <row r="42" ht="15.75" customHeight="1">
      <c r="B42" s="3">
        <v>44967.0</v>
      </c>
      <c r="C42" s="8">
        <v>1121.0</v>
      </c>
      <c r="D42" s="4">
        <v>39755.0</v>
      </c>
    </row>
    <row r="43" ht="15.75" customHeight="1">
      <c r="B43" s="3">
        <v>44968.0</v>
      </c>
      <c r="C43" s="8">
        <v>1795.0</v>
      </c>
      <c r="D43" s="4">
        <v>78407.0</v>
      </c>
    </row>
    <row r="44" ht="15.75" customHeight="1">
      <c r="B44" s="3">
        <v>44969.0</v>
      </c>
      <c r="C44" s="8">
        <v>1761.0</v>
      </c>
      <c r="D44" s="4">
        <v>86349.0</v>
      </c>
    </row>
    <row r="45" ht="15.75" customHeight="1">
      <c r="B45" s="3">
        <v>44970.0</v>
      </c>
      <c r="C45" s="4">
        <v>509.0</v>
      </c>
      <c r="D45" s="4">
        <v>24867.0</v>
      </c>
    </row>
    <row r="46" ht="15.75" customHeight="1">
      <c r="B46" s="3">
        <v>44971.0</v>
      </c>
      <c r="C46" s="8">
        <v>1803.0</v>
      </c>
      <c r="D46" s="4">
        <v>91084.0</v>
      </c>
    </row>
    <row r="47" ht="15.75" customHeight="1">
      <c r="B47" s="3">
        <v>44972.0</v>
      </c>
      <c r="C47" s="8">
        <v>1951.0</v>
      </c>
      <c r="D47" s="4">
        <v>69446.0</v>
      </c>
    </row>
    <row r="48" ht="15.75" customHeight="1">
      <c r="B48" s="3">
        <v>44973.0</v>
      </c>
      <c r="C48" s="4">
        <v>184.0</v>
      </c>
      <c r="D48" s="4">
        <v>13572.0</v>
      </c>
    </row>
    <row r="49" ht="15.75" customHeight="1">
      <c r="B49" s="3">
        <v>44974.0</v>
      </c>
      <c r="C49" s="4">
        <v>184.0</v>
      </c>
      <c r="D49" s="4">
        <v>10937.0</v>
      </c>
    </row>
    <row r="50" ht="15.75" customHeight="1">
      <c r="B50" s="3">
        <v>44975.0</v>
      </c>
      <c r="C50" s="4">
        <v>701.0</v>
      </c>
      <c r="D50" s="4">
        <v>51617.0</v>
      </c>
    </row>
    <row r="51" ht="15.75" customHeight="1">
      <c r="B51" s="3">
        <v>44976.0</v>
      </c>
      <c r="C51" s="4">
        <v>603.0</v>
      </c>
      <c r="D51" s="4">
        <v>27084.0</v>
      </c>
    </row>
    <row r="52" ht="15.75" customHeight="1">
      <c r="B52" s="3">
        <v>44977.0</v>
      </c>
      <c r="C52" s="8">
        <v>1223.0</v>
      </c>
      <c r="D52" s="4">
        <v>81535.0</v>
      </c>
    </row>
    <row r="53" ht="15.75" customHeight="1">
      <c r="B53" s="3">
        <v>44978.0</v>
      </c>
      <c r="C53" s="4">
        <v>975.0</v>
      </c>
      <c r="D53" s="4">
        <v>87918.0</v>
      </c>
    </row>
    <row r="54" ht="15.75" customHeight="1">
      <c r="B54" s="3">
        <v>44979.0</v>
      </c>
      <c r="C54" s="4">
        <v>916.0</v>
      </c>
      <c r="D54" s="4">
        <v>67900.0</v>
      </c>
    </row>
    <row r="55" ht="15.75" customHeight="1">
      <c r="B55" s="3">
        <v>44980.0</v>
      </c>
      <c r="C55" s="4">
        <v>946.0</v>
      </c>
      <c r="D55" s="4">
        <v>86072.0</v>
      </c>
    </row>
    <row r="56" ht="15.75" customHeight="1">
      <c r="B56" s="3">
        <v>44981.0</v>
      </c>
      <c r="C56" s="4">
        <v>482.0</v>
      </c>
      <c r="D56" s="4">
        <v>17883.0</v>
      </c>
    </row>
    <row r="57" ht="15.75" customHeight="1">
      <c r="B57" s="3">
        <v>44982.0</v>
      </c>
      <c r="C57" s="4">
        <v>901.0</v>
      </c>
      <c r="D57" s="4">
        <v>57777.0</v>
      </c>
    </row>
    <row r="58" ht="15.75" customHeight="1">
      <c r="B58" s="3">
        <v>44983.0</v>
      </c>
      <c r="C58" s="8">
        <v>2155.0</v>
      </c>
      <c r="D58" s="4">
        <v>81640.0</v>
      </c>
    </row>
    <row r="59" ht="15.75" customHeight="1">
      <c r="B59" s="3">
        <v>44984.0</v>
      </c>
      <c r="C59" s="8">
        <v>1290.0</v>
      </c>
      <c r="D59" s="4">
        <v>44824.0</v>
      </c>
    </row>
    <row r="60" ht="15.75" customHeight="1">
      <c r="B60" s="3">
        <v>44985.0</v>
      </c>
      <c r="C60" s="4">
        <v>169.0</v>
      </c>
      <c r="D60" s="4">
        <v>14995.0</v>
      </c>
    </row>
    <row r="61" ht="15.75" customHeight="1">
      <c r="B61" s="3">
        <v>44986.0</v>
      </c>
      <c r="C61" s="8">
        <v>1314.0</v>
      </c>
      <c r="D61" s="4">
        <v>67762.0</v>
      </c>
    </row>
    <row r="62" ht="15.75" customHeight="1">
      <c r="B62" s="3">
        <v>44987.0</v>
      </c>
      <c r="C62" s="8">
        <v>1299.0</v>
      </c>
      <c r="D62" s="4">
        <v>46410.0</v>
      </c>
    </row>
    <row r="63" ht="15.75" customHeight="1">
      <c r="B63" s="3">
        <v>44988.0</v>
      </c>
      <c r="C63" s="4">
        <v>568.0</v>
      </c>
      <c r="D63" s="4">
        <v>21953.0</v>
      </c>
    </row>
    <row r="64" ht="15.75" customHeight="1">
      <c r="B64" s="3">
        <v>44989.0</v>
      </c>
      <c r="C64" s="4">
        <v>512.0</v>
      </c>
      <c r="D64" s="4">
        <v>33528.0</v>
      </c>
    </row>
    <row r="65" ht="15.75" customHeight="1">
      <c r="B65" s="3">
        <v>44990.0</v>
      </c>
      <c r="C65" s="8">
        <v>1306.0</v>
      </c>
      <c r="D65" s="4">
        <v>54650.0</v>
      </c>
    </row>
    <row r="66" ht="15.75" customHeight="1">
      <c r="B66" s="3">
        <v>44991.0</v>
      </c>
      <c r="C66" s="8">
        <v>1331.0</v>
      </c>
      <c r="D66" s="4">
        <v>59691.0</v>
      </c>
    </row>
    <row r="67" ht="15.75" customHeight="1">
      <c r="B67" s="3">
        <v>44992.0</v>
      </c>
      <c r="C67" s="4">
        <v>592.0</v>
      </c>
      <c r="D67" s="4">
        <v>25009.0</v>
      </c>
    </row>
    <row r="68" ht="15.75" customHeight="1">
      <c r="B68" s="3">
        <v>44993.0</v>
      </c>
      <c r="C68" s="8">
        <v>1985.0</v>
      </c>
      <c r="D68" s="4">
        <v>80702.0</v>
      </c>
    </row>
    <row r="69" ht="15.75" customHeight="1">
      <c r="B69" s="3">
        <v>44994.0</v>
      </c>
      <c r="C69" s="8">
        <v>2093.0</v>
      </c>
      <c r="D69" s="4">
        <v>72929.0</v>
      </c>
    </row>
    <row r="70" ht="15.75" customHeight="1">
      <c r="B70" s="3">
        <v>44995.0</v>
      </c>
      <c r="C70" s="8">
        <v>1949.0</v>
      </c>
      <c r="D70" s="4">
        <v>82617.0</v>
      </c>
    </row>
    <row r="71" ht="15.75" customHeight="1">
      <c r="B71" s="3">
        <v>44996.0</v>
      </c>
      <c r="C71" s="4">
        <v>817.0</v>
      </c>
      <c r="D71" s="4">
        <v>32703.0</v>
      </c>
    </row>
    <row r="72" ht="15.75" customHeight="1">
      <c r="B72" s="3">
        <v>44997.0</v>
      </c>
      <c r="C72" s="8">
        <v>1538.0</v>
      </c>
      <c r="D72" s="4">
        <v>92119.0</v>
      </c>
    </row>
    <row r="73" ht="15.75" customHeight="1">
      <c r="B73" s="3">
        <v>44998.0</v>
      </c>
      <c r="C73" s="4">
        <v>507.0</v>
      </c>
      <c r="D73" s="4">
        <v>25896.0</v>
      </c>
    </row>
    <row r="74" ht="15.75" customHeight="1">
      <c r="B74" s="3">
        <v>44999.0</v>
      </c>
      <c r="C74" s="4">
        <v>622.0</v>
      </c>
      <c r="D74" s="4">
        <v>59317.0</v>
      </c>
    </row>
    <row r="75" ht="15.75" customHeight="1">
      <c r="B75" s="3">
        <v>45000.0</v>
      </c>
      <c r="C75" s="4">
        <v>309.0</v>
      </c>
      <c r="D75" s="4">
        <v>24567.0</v>
      </c>
    </row>
    <row r="76" ht="15.75" customHeight="1">
      <c r="B76" s="3">
        <v>45001.0</v>
      </c>
      <c r="C76" s="4">
        <v>509.0</v>
      </c>
      <c r="D76" s="4">
        <v>24965.0</v>
      </c>
    </row>
    <row r="77" ht="15.75" customHeight="1">
      <c r="B77" s="3">
        <v>45002.0</v>
      </c>
      <c r="C77" s="8">
        <v>1469.0</v>
      </c>
      <c r="D77" s="4">
        <v>52112.0</v>
      </c>
    </row>
    <row r="78" ht="15.75" customHeight="1">
      <c r="B78" s="3">
        <v>45003.0</v>
      </c>
      <c r="C78" s="4">
        <v>667.0</v>
      </c>
      <c r="D78" s="4">
        <v>38805.0</v>
      </c>
    </row>
    <row r="79" ht="15.75" customHeight="1">
      <c r="B79" s="3">
        <v>45004.0</v>
      </c>
      <c r="C79" s="4">
        <v>578.0</v>
      </c>
      <c r="D79" s="4">
        <v>28757.0</v>
      </c>
    </row>
    <row r="80" ht="15.75" customHeight="1">
      <c r="B80" s="3">
        <v>45005.0</v>
      </c>
      <c r="C80" s="4">
        <v>920.0</v>
      </c>
      <c r="D80" s="4">
        <v>86041.0</v>
      </c>
    </row>
    <row r="81" ht="15.75" customHeight="1">
      <c r="B81" s="3">
        <v>45006.0</v>
      </c>
      <c r="C81" s="4">
        <v>757.0</v>
      </c>
      <c r="D81" s="4">
        <v>32225.0</v>
      </c>
    </row>
    <row r="82" ht="15.75" customHeight="1">
      <c r="B82" s="3">
        <v>45007.0</v>
      </c>
      <c r="C82" s="8">
        <v>1003.0</v>
      </c>
      <c r="D82" s="4">
        <v>34968.0</v>
      </c>
    </row>
    <row r="83" ht="15.75" customHeight="1">
      <c r="B83" s="3">
        <v>45008.0</v>
      </c>
      <c r="C83" s="8">
        <v>1712.0</v>
      </c>
      <c r="D83" s="4">
        <v>99565.0</v>
      </c>
    </row>
    <row r="84" ht="15.75" customHeight="1">
      <c r="B84" s="3">
        <v>45009.0</v>
      </c>
      <c r="C84" s="4">
        <v>124.0</v>
      </c>
      <c r="D84" s="4">
        <v>10200.0</v>
      </c>
    </row>
    <row r="85" ht="15.75" customHeight="1">
      <c r="B85" s="3">
        <v>45010.0</v>
      </c>
      <c r="C85" s="8">
        <v>1841.0</v>
      </c>
      <c r="D85" s="4">
        <v>72780.0</v>
      </c>
    </row>
    <row r="86" ht="15.75" customHeight="1">
      <c r="B86" s="3">
        <v>45011.0</v>
      </c>
      <c r="C86" s="4">
        <v>589.0</v>
      </c>
      <c r="D86" s="4">
        <v>24442.0</v>
      </c>
    </row>
    <row r="87" ht="15.75" customHeight="1">
      <c r="B87" s="3">
        <v>45012.0</v>
      </c>
      <c r="C87" s="8">
        <v>1086.0</v>
      </c>
      <c r="D87" s="4">
        <v>81070.0</v>
      </c>
    </row>
    <row r="88" ht="15.75" customHeight="1">
      <c r="B88" s="3">
        <v>45013.0</v>
      </c>
      <c r="C88" s="4">
        <v>312.0</v>
      </c>
      <c r="D88" s="4">
        <v>13535.0</v>
      </c>
    </row>
    <row r="89" ht="15.75" customHeight="1">
      <c r="B89" s="3">
        <v>45014.0</v>
      </c>
      <c r="C89" s="8">
        <v>2213.0</v>
      </c>
      <c r="D89" s="4">
        <v>74290.0</v>
      </c>
    </row>
    <row r="90" ht="15.75" customHeight="1">
      <c r="B90" s="3">
        <v>45015.0</v>
      </c>
      <c r="C90" s="4">
        <v>758.0</v>
      </c>
      <c r="D90" s="4">
        <v>57867.0</v>
      </c>
    </row>
    <row r="91" ht="15.75" customHeight="1">
      <c r="B91" s="3">
        <v>45016.0</v>
      </c>
      <c r="C91" s="4">
        <v>696.0</v>
      </c>
      <c r="D91" s="4">
        <v>52354.0</v>
      </c>
    </row>
    <row r="92" ht="15.75" customHeight="1">
      <c r="B92" s="3">
        <v>45017.0</v>
      </c>
      <c r="C92" s="8">
        <v>1198.0</v>
      </c>
      <c r="D92" s="4">
        <v>70893.0</v>
      </c>
    </row>
    <row r="93" ht="15.75" customHeight="1">
      <c r="B93" s="3">
        <v>45018.0</v>
      </c>
      <c r="C93" s="8">
        <v>1739.0</v>
      </c>
      <c r="D93" s="4">
        <v>90617.0</v>
      </c>
    </row>
    <row r="94" ht="15.75" customHeight="1">
      <c r="B94" s="3">
        <v>45019.0</v>
      </c>
      <c r="C94" s="4">
        <v>325.0</v>
      </c>
      <c r="D94" s="4">
        <v>27366.0</v>
      </c>
    </row>
    <row r="95" ht="15.75" customHeight="1">
      <c r="B95" s="3">
        <v>45020.0</v>
      </c>
      <c r="C95" s="8">
        <v>2172.0</v>
      </c>
      <c r="D95" s="4">
        <v>72668.0</v>
      </c>
    </row>
    <row r="96" ht="15.75" customHeight="1">
      <c r="B96" s="3">
        <v>45021.0</v>
      </c>
      <c r="C96" s="4">
        <v>448.0</v>
      </c>
      <c r="D96" s="4">
        <v>19183.0</v>
      </c>
    </row>
    <row r="97" ht="15.75" customHeight="1">
      <c r="B97" s="3">
        <v>45022.0</v>
      </c>
      <c r="C97" s="8">
        <v>1785.0</v>
      </c>
      <c r="D97" s="4">
        <v>95464.0</v>
      </c>
    </row>
    <row r="98" ht="15.75" customHeight="1">
      <c r="B98" s="3">
        <v>45023.0</v>
      </c>
      <c r="C98" s="8">
        <v>2114.0</v>
      </c>
      <c r="D98" s="4">
        <v>81947.0</v>
      </c>
    </row>
    <row r="99" ht="15.75" customHeight="1">
      <c r="B99" s="3">
        <v>45024.0</v>
      </c>
      <c r="C99" s="8">
        <v>1928.0</v>
      </c>
      <c r="D99" s="4">
        <v>82060.0</v>
      </c>
    </row>
    <row r="100" ht="15.75" customHeight="1">
      <c r="B100" s="3">
        <v>45025.0</v>
      </c>
      <c r="C100" s="4">
        <v>597.0</v>
      </c>
      <c r="D100" s="4">
        <v>56322.0</v>
      </c>
    </row>
    <row r="101" ht="15.75" customHeight="1">
      <c r="B101" s="3">
        <v>45026.0</v>
      </c>
      <c r="C101" s="4">
        <v>869.0</v>
      </c>
      <c r="D101" s="4">
        <v>49678.0</v>
      </c>
    </row>
    <row r="102" ht="15.75" customHeight="1">
      <c r="B102" s="3">
        <v>45027.0</v>
      </c>
      <c r="C102" s="8">
        <v>1955.0</v>
      </c>
      <c r="D102" s="4">
        <v>72964.0</v>
      </c>
    </row>
    <row r="103" ht="15.75" customHeight="1">
      <c r="B103" s="3">
        <v>45028.0</v>
      </c>
      <c r="C103" s="8">
        <v>1665.0</v>
      </c>
      <c r="D103" s="4">
        <v>94115.0</v>
      </c>
    </row>
    <row r="104" ht="15.75" customHeight="1">
      <c r="B104" s="3">
        <v>45029.0</v>
      </c>
      <c r="C104" s="4">
        <v>433.0</v>
      </c>
      <c r="D104" s="4">
        <v>20642.0</v>
      </c>
    </row>
    <row r="105" ht="15.75" customHeight="1">
      <c r="B105" s="3">
        <v>45030.0</v>
      </c>
      <c r="C105" s="8">
        <v>1007.0</v>
      </c>
      <c r="D105" s="4">
        <v>79972.0</v>
      </c>
    </row>
    <row r="106" ht="15.75" customHeight="1">
      <c r="B106" s="3">
        <v>45031.0</v>
      </c>
      <c r="C106" s="8">
        <v>1979.0</v>
      </c>
      <c r="D106" s="4">
        <v>93812.0</v>
      </c>
    </row>
    <row r="107" ht="15.75" customHeight="1">
      <c r="B107" s="3">
        <v>45032.0</v>
      </c>
      <c r="C107" s="4">
        <v>359.0</v>
      </c>
      <c r="D107" s="4">
        <v>22628.0</v>
      </c>
    </row>
    <row r="108" ht="15.75" customHeight="1">
      <c r="B108" s="3">
        <v>45033.0</v>
      </c>
      <c r="C108" s="8">
        <v>1054.0</v>
      </c>
      <c r="D108" s="4">
        <v>87129.0</v>
      </c>
    </row>
    <row r="109" ht="15.75" customHeight="1">
      <c r="B109" s="3">
        <v>45034.0</v>
      </c>
      <c r="C109" s="8">
        <v>1817.0</v>
      </c>
      <c r="D109" s="4">
        <v>95649.0</v>
      </c>
    </row>
    <row r="110" ht="15.75" customHeight="1">
      <c r="B110" s="3">
        <v>45035.0</v>
      </c>
      <c r="C110" s="4">
        <v>398.0</v>
      </c>
      <c r="D110" s="4">
        <v>21527.0</v>
      </c>
    </row>
    <row r="111" ht="15.75" customHeight="1">
      <c r="B111" s="3">
        <v>45036.0</v>
      </c>
      <c r="C111" s="4">
        <v>715.0</v>
      </c>
      <c r="D111" s="4">
        <v>43354.0</v>
      </c>
    </row>
    <row r="112" ht="15.75" customHeight="1">
      <c r="B112" s="3">
        <v>45037.0</v>
      </c>
      <c r="C112" s="8">
        <v>2361.0</v>
      </c>
      <c r="D112" s="4">
        <v>84934.0</v>
      </c>
    </row>
    <row r="113" ht="15.75" customHeight="1">
      <c r="B113" s="3">
        <v>45038.0</v>
      </c>
      <c r="C113" s="8">
        <v>1971.0</v>
      </c>
      <c r="D113" s="4">
        <v>84996.0</v>
      </c>
    </row>
    <row r="114" ht="15.75" customHeight="1">
      <c r="B114" s="3">
        <v>45039.0</v>
      </c>
      <c r="C114" s="8">
        <v>2062.0</v>
      </c>
      <c r="D114" s="4">
        <v>83171.0</v>
      </c>
    </row>
    <row r="115" ht="15.75" customHeight="1">
      <c r="B115" s="3">
        <v>45040.0</v>
      </c>
      <c r="C115" s="8">
        <v>1019.0</v>
      </c>
      <c r="D115" s="4">
        <v>95234.0</v>
      </c>
    </row>
    <row r="116" ht="15.75" customHeight="1">
      <c r="B116" s="3">
        <v>45041.0</v>
      </c>
      <c r="C116" s="8">
        <v>1041.0</v>
      </c>
      <c r="D116" s="4">
        <v>45282.0</v>
      </c>
    </row>
    <row r="117" ht="15.75" customHeight="1">
      <c r="B117" s="3">
        <v>45042.0</v>
      </c>
      <c r="C117" s="4">
        <v>963.0</v>
      </c>
      <c r="D117" s="4">
        <v>77080.0</v>
      </c>
    </row>
    <row r="118" ht="15.75" customHeight="1">
      <c r="B118" s="3">
        <v>45043.0</v>
      </c>
      <c r="C118" s="4">
        <v>550.0</v>
      </c>
      <c r="D118" s="4">
        <v>26490.0</v>
      </c>
    </row>
    <row r="119" ht="15.75" customHeight="1">
      <c r="B119" s="3">
        <v>45044.0</v>
      </c>
      <c r="C119" s="4">
        <v>699.0</v>
      </c>
      <c r="D119" s="4">
        <v>62976.0</v>
      </c>
    </row>
    <row r="120" ht="15.75" customHeight="1">
      <c r="B120" s="3">
        <v>45045.0</v>
      </c>
      <c r="C120" s="4">
        <v>842.0</v>
      </c>
      <c r="D120" s="4">
        <v>40110.0</v>
      </c>
    </row>
    <row r="121" ht="15.75" customHeight="1">
      <c r="B121" s="3">
        <v>45046.0</v>
      </c>
      <c r="C121" s="8">
        <v>1357.0</v>
      </c>
      <c r="D121" s="4">
        <v>67890.0</v>
      </c>
    </row>
    <row r="122" ht="15.75" customHeight="1">
      <c r="B122" s="3">
        <v>45047.0</v>
      </c>
      <c r="C122" s="4">
        <v>219.0</v>
      </c>
      <c r="D122" s="4">
        <v>12671.0</v>
      </c>
    </row>
    <row r="123" ht="15.75" customHeight="1">
      <c r="B123" s="3">
        <v>45048.0</v>
      </c>
      <c r="C123" s="8">
        <v>1300.0</v>
      </c>
      <c r="D123" s="4">
        <v>94264.0</v>
      </c>
    </row>
    <row r="124" ht="15.75" customHeight="1">
      <c r="B124" s="3">
        <v>45049.0</v>
      </c>
      <c r="C124" s="8">
        <v>1375.0</v>
      </c>
      <c r="D124" s="4">
        <v>59532.0</v>
      </c>
    </row>
    <row r="125" ht="15.75" customHeight="1">
      <c r="B125" s="3">
        <v>45050.0</v>
      </c>
      <c r="C125" s="8">
        <v>1346.0</v>
      </c>
      <c r="D125" s="4">
        <v>51990.0</v>
      </c>
    </row>
    <row r="126" ht="15.75" customHeight="1">
      <c r="B126" s="3">
        <v>45051.0</v>
      </c>
      <c r="C126" s="8">
        <v>1757.0</v>
      </c>
      <c r="D126" s="4">
        <v>88738.0</v>
      </c>
    </row>
    <row r="127" ht="15.75" customHeight="1">
      <c r="B127" s="3">
        <v>45052.0</v>
      </c>
      <c r="C127" s="4">
        <v>911.0</v>
      </c>
      <c r="D127" s="4">
        <v>50381.0</v>
      </c>
    </row>
    <row r="128" ht="15.75" customHeight="1">
      <c r="B128" s="3">
        <v>45053.0</v>
      </c>
      <c r="C128" s="8">
        <v>1808.0</v>
      </c>
      <c r="D128" s="4">
        <v>70628.0</v>
      </c>
    </row>
    <row r="129" ht="15.75" customHeight="1">
      <c r="B129" s="3">
        <v>45054.0</v>
      </c>
      <c r="C129" s="4">
        <v>456.0</v>
      </c>
      <c r="D129" s="4">
        <v>22138.0</v>
      </c>
    </row>
    <row r="130" ht="15.75" customHeight="1">
      <c r="B130" s="3">
        <v>45055.0</v>
      </c>
      <c r="C130" s="8">
        <v>1965.0</v>
      </c>
      <c r="D130" s="4">
        <v>78604.0</v>
      </c>
    </row>
    <row r="131" ht="15.75" customHeight="1">
      <c r="B131" s="3">
        <v>45056.0</v>
      </c>
      <c r="C131" s="8">
        <v>1936.0</v>
      </c>
      <c r="D131" s="4">
        <v>68678.0</v>
      </c>
    </row>
    <row r="132" ht="15.75" customHeight="1">
      <c r="B132" s="3">
        <v>45057.0</v>
      </c>
      <c r="C132" s="4">
        <v>232.0</v>
      </c>
      <c r="D132" s="4">
        <v>10897.0</v>
      </c>
    </row>
    <row r="133" ht="15.75" customHeight="1">
      <c r="B133" s="3">
        <v>45058.0</v>
      </c>
      <c r="C133" s="4">
        <v>763.0</v>
      </c>
      <c r="D133" s="4">
        <v>29715.0</v>
      </c>
    </row>
    <row r="134" ht="15.75" customHeight="1">
      <c r="B134" s="3">
        <v>45059.0</v>
      </c>
      <c r="C134" s="4">
        <v>768.0</v>
      </c>
      <c r="D134" s="4">
        <v>44675.0</v>
      </c>
    </row>
    <row r="135" ht="15.75" customHeight="1">
      <c r="B135" s="3">
        <v>45060.0</v>
      </c>
      <c r="C135" s="8">
        <v>1522.0</v>
      </c>
      <c r="D135" s="4">
        <v>98876.0</v>
      </c>
    </row>
    <row r="136" ht="15.75" customHeight="1">
      <c r="B136" s="3">
        <v>45061.0</v>
      </c>
      <c r="C136" s="4">
        <v>349.0</v>
      </c>
      <c r="D136" s="4">
        <v>17231.0</v>
      </c>
    </row>
    <row r="137" ht="15.75" customHeight="1">
      <c r="B137" s="3">
        <v>45062.0</v>
      </c>
      <c r="C137" s="8">
        <v>1187.0</v>
      </c>
      <c r="D137" s="4">
        <v>58192.0</v>
      </c>
    </row>
    <row r="138" ht="15.75" customHeight="1">
      <c r="B138" s="3">
        <v>45063.0</v>
      </c>
      <c r="C138" s="4">
        <v>969.0</v>
      </c>
      <c r="D138" s="4">
        <v>46401.0</v>
      </c>
    </row>
    <row r="139" ht="15.75" customHeight="1">
      <c r="B139" s="3">
        <v>45064.0</v>
      </c>
      <c r="C139" s="8">
        <v>1422.0</v>
      </c>
      <c r="D139" s="4">
        <v>92964.0</v>
      </c>
    </row>
    <row r="140" ht="15.75" customHeight="1">
      <c r="B140" s="3">
        <v>45065.0</v>
      </c>
      <c r="C140" s="8">
        <v>1827.0</v>
      </c>
      <c r="D140" s="4">
        <v>65281.0</v>
      </c>
    </row>
    <row r="141" ht="15.75" customHeight="1">
      <c r="B141" s="3">
        <v>45066.0</v>
      </c>
      <c r="C141" s="4">
        <v>819.0</v>
      </c>
      <c r="D141" s="4">
        <v>80391.0</v>
      </c>
    </row>
    <row r="142" ht="15.75" customHeight="1">
      <c r="B142" s="3">
        <v>45067.0</v>
      </c>
      <c r="C142" s="8">
        <v>1129.0</v>
      </c>
      <c r="D142" s="4">
        <v>88277.0</v>
      </c>
    </row>
    <row r="143" ht="15.75" customHeight="1">
      <c r="B143" s="3">
        <v>45068.0</v>
      </c>
      <c r="C143" s="4">
        <v>625.0</v>
      </c>
      <c r="D143" s="4">
        <v>60190.0</v>
      </c>
    </row>
    <row r="144" ht="15.75" customHeight="1">
      <c r="B144" s="3">
        <v>45069.0</v>
      </c>
      <c r="C144" s="8">
        <v>1112.0</v>
      </c>
      <c r="D144" s="4">
        <v>74681.0</v>
      </c>
    </row>
    <row r="145" ht="15.75" customHeight="1">
      <c r="B145" s="3">
        <v>45070.0</v>
      </c>
      <c r="C145" s="8">
        <v>1001.0</v>
      </c>
      <c r="D145" s="4">
        <v>87812.0</v>
      </c>
    </row>
    <row r="146" ht="15.75" customHeight="1">
      <c r="B146" s="3">
        <v>45071.0</v>
      </c>
      <c r="C146" s="8">
        <v>1886.0</v>
      </c>
      <c r="D146" s="4">
        <v>67385.0</v>
      </c>
    </row>
    <row r="147" ht="15.75" customHeight="1">
      <c r="B147" s="3">
        <v>45072.0</v>
      </c>
      <c r="C147" s="8">
        <v>1928.0</v>
      </c>
      <c r="D147" s="4">
        <v>74469.0</v>
      </c>
    </row>
    <row r="148" ht="15.75" customHeight="1">
      <c r="B148" s="3">
        <v>45073.0</v>
      </c>
      <c r="C148" s="4">
        <v>691.0</v>
      </c>
      <c r="D148" s="4">
        <v>32768.0</v>
      </c>
    </row>
    <row r="149" ht="15.75" customHeight="1">
      <c r="B149" s="3">
        <v>45074.0</v>
      </c>
      <c r="C149" s="8">
        <v>2100.0</v>
      </c>
      <c r="D149" s="4">
        <v>76936.0</v>
      </c>
    </row>
    <row r="150" ht="15.75" customHeight="1">
      <c r="B150" s="3">
        <v>45075.0</v>
      </c>
      <c r="C150" s="8">
        <v>1267.0</v>
      </c>
      <c r="D150" s="4">
        <v>59774.0</v>
      </c>
    </row>
    <row r="151" ht="15.75" customHeight="1">
      <c r="B151" s="3">
        <v>45076.0</v>
      </c>
      <c r="C151" s="8">
        <v>1152.0</v>
      </c>
      <c r="D151" s="4">
        <v>41440.0</v>
      </c>
    </row>
    <row r="152" ht="15.75" customHeight="1">
      <c r="B152" s="3">
        <v>45077.0</v>
      </c>
      <c r="C152" s="4">
        <v>310.0</v>
      </c>
      <c r="D152" s="4">
        <v>23140.0</v>
      </c>
    </row>
    <row r="153" ht="15.75" customHeight="1">
      <c r="B153" s="3">
        <v>45078.0</v>
      </c>
      <c r="C153" s="8">
        <v>1183.0</v>
      </c>
      <c r="D153" s="4">
        <v>53053.0</v>
      </c>
    </row>
    <row r="154" ht="15.75" customHeight="1">
      <c r="B154" s="3">
        <v>45079.0</v>
      </c>
      <c r="C154" s="8">
        <v>1713.0</v>
      </c>
      <c r="D154" s="4">
        <v>95715.0</v>
      </c>
    </row>
    <row r="155" ht="15.75" customHeight="1">
      <c r="B155" s="3">
        <v>45080.0</v>
      </c>
      <c r="C155" s="4">
        <v>550.0</v>
      </c>
      <c r="D155" s="4">
        <v>26361.0</v>
      </c>
    </row>
    <row r="156" ht="15.75" customHeight="1">
      <c r="B156" s="3">
        <v>45081.0</v>
      </c>
      <c r="C156" s="8">
        <v>1219.0</v>
      </c>
      <c r="D156" s="4">
        <v>55684.0</v>
      </c>
    </row>
    <row r="157" ht="15.75" customHeight="1">
      <c r="B157" s="3">
        <v>45082.0</v>
      </c>
      <c r="C157" s="8">
        <v>1988.0</v>
      </c>
      <c r="D157" s="4">
        <v>66949.0</v>
      </c>
    </row>
    <row r="158" ht="15.75" customHeight="1">
      <c r="B158" s="3">
        <v>45083.0</v>
      </c>
      <c r="C158" s="8">
        <v>1364.0</v>
      </c>
      <c r="D158" s="4">
        <v>76208.0</v>
      </c>
    </row>
    <row r="159" ht="15.75" customHeight="1">
      <c r="B159" s="3">
        <v>45084.0</v>
      </c>
      <c r="C159" s="8">
        <v>1577.0</v>
      </c>
      <c r="D159" s="4">
        <v>72025.0</v>
      </c>
    </row>
    <row r="160" ht="15.75" customHeight="1">
      <c r="B160" s="3">
        <v>45085.0</v>
      </c>
      <c r="C160" s="8">
        <v>2087.0</v>
      </c>
      <c r="D160" s="4">
        <v>91551.0</v>
      </c>
    </row>
    <row r="161" ht="15.75" customHeight="1">
      <c r="B161" s="3">
        <v>45086.0</v>
      </c>
      <c r="C161" s="4">
        <v>622.0</v>
      </c>
      <c r="D161" s="4">
        <v>43530.0</v>
      </c>
    </row>
    <row r="162" ht="15.75" customHeight="1">
      <c r="B162" s="3">
        <v>45087.0</v>
      </c>
      <c r="C162" s="8">
        <v>2304.0</v>
      </c>
      <c r="D162" s="4">
        <v>86963.0</v>
      </c>
    </row>
    <row r="163" ht="15.75" customHeight="1">
      <c r="B163" s="3">
        <v>45088.0</v>
      </c>
      <c r="C163" s="8">
        <v>1205.0</v>
      </c>
      <c r="D163" s="4">
        <v>87979.0</v>
      </c>
    </row>
    <row r="164" ht="15.75" customHeight="1">
      <c r="B164" s="3">
        <v>45089.0</v>
      </c>
      <c r="C164" s="4">
        <v>423.0</v>
      </c>
      <c r="D164" s="4">
        <v>19976.0</v>
      </c>
    </row>
    <row r="165" ht="15.75" customHeight="1">
      <c r="B165" s="3">
        <v>45090.0</v>
      </c>
      <c r="C165" s="8">
        <v>1255.0</v>
      </c>
      <c r="D165" s="4">
        <v>44371.0</v>
      </c>
    </row>
    <row r="166" ht="15.75" customHeight="1">
      <c r="B166" s="3">
        <v>45091.0</v>
      </c>
      <c r="C166" s="8">
        <v>1267.0</v>
      </c>
      <c r="D166" s="4">
        <v>61532.0</v>
      </c>
    </row>
    <row r="167" ht="15.75" customHeight="1">
      <c r="B167" s="3">
        <v>45092.0</v>
      </c>
      <c r="C167" s="8">
        <v>2079.0</v>
      </c>
      <c r="D167" s="4">
        <v>78483.0</v>
      </c>
    </row>
    <row r="168" ht="15.75" customHeight="1">
      <c r="B168" s="3">
        <v>45093.0</v>
      </c>
      <c r="C168" s="8">
        <v>2729.0</v>
      </c>
      <c r="D168" s="4">
        <v>93791.0</v>
      </c>
    </row>
    <row r="169" ht="15.75" customHeight="1">
      <c r="B169" s="3">
        <v>45094.0</v>
      </c>
      <c r="C169" s="4">
        <v>505.0</v>
      </c>
      <c r="D169" s="4">
        <v>28076.0</v>
      </c>
    </row>
    <row r="170" ht="15.75" customHeight="1">
      <c r="B170" s="3">
        <v>45095.0</v>
      </c>
      <c r="C170" s="4">
        <v>345.0</v>
      </c>
      <c r="D170" s="4">
        <v>32284.0</v>
      </c>
    </row>
    <row r="171" ht="15.75" customHeight="1">
      <c r="B171" s="3">
        <v>45096.0</v>
      </c>
      <c r="C171" s="8">
        <v>1156.0</v>
      </c>
      <c r="D171" s="4">
        <v>46812.0</v>
      </c>
    </row>
    <row r="172" ht="15.75" customHeight="1">
      <c r="B172" s="3">
        <v>45097.0</v>
      </c>
      <c r="C172" s="8">
        <v>1339.0</v>
      </c>
      <c r="D172" s="4">
        <v>57004.0</v>
      </c>
    </row>
    <row r="173" ht="15.75" customHeight="1">
      <c r="B173" s="3">
        <v>45098.0</v>
      </c>
      <c r="C173" s="8">
        <v>2045.0</v>
      </c>
      <c r="D173" s="4">
        <v>73312.0</v>
      </c>
    </row>
    <row r="174" ht="15.75" customHeight="1">
      <c r="B174" s="3">
        <v>45099.0</v>
      </c>
      <c r="C174" s="8">
        <v>2262.0</v>
      </c>
      <c r="D174" s="4">
        <v>76451.0</v>
      </c>
    </row>
    <row r="175" ht="15.75" customHeight="1">
      <c r="B175" s="3">
        <v>45100.0</v>
      </c>
      <c r="C175" s="4">
        <v>949.0</v>
      </c>
      <c r="D175" s="4">
        <v>67806.0</v>
      </c>
    </row>
    <row r="176" ht="15.75" customHeight="1">
      <c r="B176" s="3">
        <v>45101.0</v>
      </c>
      <c r="C176" s="4">
        <v>802.0</v>
      </c>
      <c r="D176" s="4">
        <v>70975.0</v>
      </c>
    </row>
    <row r="177" ht="15.75" customHeight="1">
      <c r="B177" s="3">
        <v>45102.0</v>
      </c>
      <c r="C177" s="4">
        <v>450.0</v>
      </c>
      <c r="D177" s="4">
        <v>29461.0</v>
      </c>
    </row>
    <row r="178" ht="15.75" customHeight="1">
      <c r="B178" s="3">
        <v>45103.0</v>
      </c>
      <c r="C178" s="8">
        <v>1283.0</v>
      </c>
      <c r="D178" s="4">
        <v>74614.0</v>
      </c>
    </row>
    <row r="179" ht="15.75" customHeight="1">
      <c r="B179" s="3">
        <v>45104.0</v>
      </c>
      <c r="C179" s="4">
        <v>780.0</v>
      </c>
      <c r="D179" s="4">
        <v>28898.0</v>
      </c>
    </row>
    <row r="180" ht="15.75" customHeight="1">
      <c r="B180" s="3">
        <v>45105.0</v>
      </c>
      <c r="C180" s="4">
        <v>485.0</v>
      </c>
      <c r="D180" s="4">
        <v>25283.0</v>
      </c>
    </row>
    <row r="181" ht="15.75" customHeight="1">
      <c r="B181" s="3">
        <v>45106.0</v>
      </c>
      <c r="C181" s="4">
        <v>407.0</v>
      </c>
      <c r="D181" s="4">
        <v>28922.0</v>
      </c>
    </row>
    <row r="182" ht="15.75" customHeight="1">
      <c r="B182" s="3">
        <v>45107.0</v>
      </c>
      <c r="C182" s="4">
        <v>907.0</v>
      </c>
      <c r="D182" s="4">
        <v>40708.0</v>
      </c>
    </row>
    <row r="183" ht="15.75" customHeight="1">
      <c r="B183" s="3">
        <v>45108.0</v>
      </c>
      <c r="C183" s="8">
        <v>2376.0</v>
      </c>
      <c r="D183" s="4">
        <v>82221.0</v>
      </c>
    </row>
    <row r="184" ht="15.75" customHeight="1">
      <c r="B184" s="3">
        <v>45109.0</v>
      </c>
      <c r="C184" s="4">
        <v>696.0</v>
      </c>
      <c r="D184" s="4">
        <v>25683.0</v>
      </c>
    </row>
    <row r="185" ht="15.75" customHeight="1">
      <c r="B185" s="3">
        <v>45110.0</v>
      </c>
      <c r="C185" s="8">
        <v>1252.0</v>
      </c>
      <c r="D185" s="4">
        <v>63264.0</v>
      </c>
    </row>
    <row r="186" ht="15.75" customHeight="1">
      <c r="B186" s="3">
        <v>45111.0</v>
      </c>
      <c r="C186" s="8">
        <v>1304.0</v>
      </c>
      <c r="D186" s="4">
        <v>75831.0</v>
      </c>
    </row>
    <row r="187" ht="15.75" customHeight="1">
      <c r="B187" s="3">
        <v>45112.0</v>
      </c>
      <c r="C187" s="8">
        <v>2371.0</v>
      </c>
      <c r="D187" s="4">
        <v>86875.0</v>
      </c>
    </row>
    <row r="188" ht="15.75" customHeight="1">
      <c r="B188" s="3">
        <v>45113.0</v>
      </c>
      <c r="C188" s="4">
        <v>536.0</v>
      </c>
      <c r="D188" s="4">
        <v>24285.0</v>
      </c>
    </row>
    <row r="189" ht="15.75" customHeight="1">
      <c r="B189" s="3">
        <v>45114.0</v>
      </c>
      <c r="C189" s="8">
        <v>1139.0</v>
      </c>
      <c r="D189" s="4">
        <v>42691.0</v>
      </c>
    </row>
    <row r="190" ht="15.75" customHeight="1">
      <c r="B190" s="3">
        <v>45115.0</v>
      </c>
      <c r="C190" s="8">
        <v>1423.0</v>
      </c>
      <c r="D190" s="4">
        <v>73001.0</v>
      </c>
    </row>
    <row r="191" ht="15.75" customHeight="1">
      <c r="B191" s="3">
        <v>45116.0</v>
      </c>
      <c r="C191" s="4">
        <v>881.0</v>
      </c>
      <c r="D191" s="4">
        <v>50947.0</v>
      </c>
    </row>
    <row r="192" ht="15.75" customHeight="1">
      <c r="B192" s="3">
        <v>45117.0</v>
      </c>
      <c r="C192" s="8">
        <v>1231.0</v>
      </c>
      <c r="D192" s="4">
        <v>46456.0</v>
      </c>
    </row>
    <row r="193" ht="15.75" customHeight="1">
      <c r="B193" s="3">
        <v>45118.0</v>
      </c>
      <c r="C193" s="8">
        <v>1090.0</v>
      </c>
      <c r="D193" s="4">
        <v>84562.0</v>
      </c>
    </row>
    <row r="194" ht="15.75" customHeight="1">
      <c r="B194" s="3">
        <v>45119.0</v>
      </c>
      <c r="C194" s="8">
        <v>2765.0</v>
      </c>
      <c r="D194" s="4">
        <v>96354.0</v>
      </c>
    </row>
    <row r="195" ht="15.75" customHeight="1">
      <c r="B195" s="3">
        <v>45120.0</v>
      </c>
      <c r="C195" s="8">
        <v>1093.0</v>
      </c>
      <c r="D195" s="4">
        <v>37440.0</v>
      </c>
    </row>
    <row r="196" ht="15.75" customHeight="1">
      <c r="B196" s="3">
        <v>45121.0</v>
      </c>
      <c r="C196" s="4">
        <v>701.0</v>
      </c>
      <c r="D196" s="4">
        <v>54837.0</v>
      </c>
    </row>
    <row r="197" ht="15.75" customHeight="1">
      <c r="B197" s="3">
        <v>45122.0</v>
      </c>
      <c r="C197" s="8">
        <v>1129.0</v>
      </c>
      <c r="D197" s="4">
        <v>62057.0</v>
      </c>
    </row>
    <row r="198" ht="15.75" customHeight="1">
      <c r="B198" s="3">
        <v>45123.0</v>
      </c>
      <c r="C198" s="8">
        <v>2086.0</v>
      </c>
      <c r="D198" s="4">
        <v>86230.0</v>
      </c>
    </row>
    <row r="199" ht="15.75" customHeight="1">
      <c r="B199" s="3">
        <v>45124.0</v>
      </c>
      <c r="C199" s="8">
        <v>1276.0</v>
      </c>
      <c r="D199" s="4">
        <v>46938.0</v>
      </c>
    </row>
    <row r="200" ht="15.75" customHeight="1">
      <c r="B200" s="3">
        <v>45125.0</v>
      </c>
      <c r="C200" s="8">
        <v>1621.0</v>
      </c>
      <c r="D200" s="4">
        <v>73367.0</v>
      </c>
    </row>
    <row r="201" ht="15.75" customHeight="1">
      <c r="B201" s="3">
        <v>45126.0</v>
      </c>
      <c r="C201" s="4">
        <v>462.0</v>
      </c>
      <c r="D201" s="4">
        <v>28556.0</v>
      </c>
    </row>
    <row r="202" ht="15.75" customHeight="1">
      <c r="B202" s="3">
        <v>45127.0</v>
      </c>
      <c r="C202" s="4">
        <v>914.0</v>
      </c>
      <c r="D202" s="4">
        <v>31091.0</v>
      </c>
    </row>
    <row r="203" ht="15.75" customHeight="1">
      <c r="B203" s="3">
        <v>45128.0</v>
      </c>
      <c r="C203" s="4">
        <v>265.0</v>
      </c>
      <c r="D203" s="4">
        <v>22502.0</v>
      </c>
    </row>
    <row r="204" ht="15.75" customHeight="1">
      <c r="B204" s="3">
        <v>45129.0</v>
      </c>
      <c r="C204" s="4">
        <v>361.0</v>
      </c>
      <c r="D204" s="4">
        <v>23195.0</v>
      </c>
    </row>
    <row r="205" ht="15.75" customHeight="1">
      <c r="B205" s="3">
        <v>45130.0</v>
      </c>
      <c r="C205" s="4">
        <v>377.0</v>
      </c>
      <c r="D205" s="4">
        <v>16705.0</v>
      </c>
    </row>
    <row r="206" ht="15.75" customHeight="1">
      <c r="B206" s="3">
        <v>45131.0</v>
      </c>
      <c r="C206" s="8">
        <v>1933.0</v>
      </c>
      <c r="D206" s="4">
        <v>88274.0</v>
      </c>
    </row>
    <row r="207" ht="15.75" customHeight="1">
      <c r="B207" s="3">
        <v>45132.0</v>
      </c>
      <c r="C207" s="4">
        <v>441.0</v>
      </c>
      <c r="D207" s="4">
        <v>39115.0</v>
      </c>
    </row>
    <row r="208" ht="15.75" customHeight="1">
      <c r="B208" s="3">
        <v>45133.0</v>
      </c>
      <c r="C208" s="4">
        <v>358.0</v>
      </c>
      <c r="D208" s="4">
        <v>18005.0</v>
      </c>
    </row>
    <row r="209" ht="15.75" customHeight="1">
      <c r="B209" s="3">
        <v>45134.0</v>
      </c>
      <c r="C209" s="8">
        <v>1559.0</v>
      </c>
      <c r="D209" s="4">
        <v>53771.0</v>
      </c>
    </row>
    <row r="210" ht="15.75" customHeight="1">
      <c r="B210" s="3">
        <v>45135.0</v>
      </c>
      <c r="C210" s="8">
        <v>1146.0</v>
      </c>
      <c r="D210" s="4">
        <v>88214.0</v>
      </c>
    </row>
    <row r="211" ht="15.75" customHeight="1">
      <c r="B211" s="3">
        <v>45136.0</v>
      </c>
      <c r="C211" s="4">
        <v>969.0</v>
      </c>
      <c r="D211" s="4">
        <v>40749.0</v>
      </c>
    </row>
    <row r="212" ht="15.75" customHeight="1">
      <c r="B212" s="3">
        <v>45137.0</v>
      </c>
      <c r="C212" s="4">
        <v>846.0</v>
      </c>
      <c r="D212" s="4">
        <v>48390.0</v>
      </c>
    </row>
    <row r="213" ht="15.75" customHeight="1">
      <c r="B213" s="3">
        <v>45138.0</v>
      </c>
      <c r="C213" s="4">
        <v>863.0</v>
      </c>
      <c r="D213" s="4">
        <v>36444.0</v>
      </c>
    </row>
    <row r="214" ht="15.75" customHeight="1">
      <c r="B214" s="3">
        <v>45139.0</v>
      </c>
      <c r="C214" s="4">
        <v>790.0</v>
      </c>
      <c r="D214" s="4">
        <v>50980.0</v>
      </c>
    </row>
    <row r="215" ht="15.75" customHeight="1">
      <c r="B215" s="3">
        <v>45140.0</v>
      </c>
      <c r="C215" s="4">
        <v>854.0</v>
      </c>
      <c r="D215" s="4">
        <v>53099.0</v>
      </c>
    </row>
    <row r="216" ht="15.75" customHeight="1">
      <c r="B216" s="3">
        <v>45141.0</v>
      </c>
      <c r="C216" s="8">
        <v>1981.0</v>
      </c>
      <c r="D216" s="4">
        <v>73679.0</v>
      </c>
    </row>
    <row r="217" ht="15.75" customHeight="1">
      <c r="B217" s="3">
        <v>45142.0</v>
      </c>
      <c r="C217" s="4">
        <v>802.0</v>
      </c>
      <c r="D217" s="4">
        <v>38948.0</v>
      </c>
    </row>
    <row r="218" ht="15.75" customHeight="1">
      <c r="B218" s="3">
        <v>45143.0</v>
      </c>
      <c r="C218" s="4">
        <v>844.0</v>
      </c>
      <c r="D218" s="4">
        <v>39670.0</v>
      </c>
    </row>
    <row r="219" ht="15.75" customHeight="1">
      <c r="B219" s="3">
        <v>45144.0</v>
      </c>
      <c r="C219" s="4">
        <v>616.0</v>
      </c>
      <c r="D219" s="4">
        <v>48916.0</v>
      </c>
    </row>
    <row r="220" ht="15.75" customHeight="1">
      <c r="B220" s="3">
        <v>45145.0</v>
      </c>
      <c r="C220" s="8">
        <v>1920.0</v>
      </c>
      <c r="D220" s="4">
        <v>64865.0</v>
      </c>
    </row>
    <row r="221" ht="15.75" customHeight="1">
      <c r="B221" s="3">
        <v>45146.0</v>
      </c>
      <c r="C221" s="8">
        <v>1647.0</v>
      </c>
      <c r="D221" s="4">
        <v>98040.0</v>
      </c>
    </row>
    <row r="222" ht="15.75" customHeight="1">
      <c r="B222" s="3">
        <v>45147.0</v>
      </c>
      <c r="C222" s="4">
        <v>329.0</v>
      </c>
      <c r="D222" s="4">
        <v>32581.0</v>
      </c>
    </row>
    <row r="223" ht="15.75" customHeight="1">
      <c r="B223" s="3">
        <v>45148.0</v>
      </c>
      <c r="C223" s="8">
        <v>1169.0</v>
      </c>
      <c r="D223" s="4">
        <v>55945.0</v>
      </c>
    </row>
    <row r="224" ht="15.75" customHeight="1">
      <c r="B224" s="3">
        <v>45149.0</v>
      </c>
      <c r="C224" s="8">
        <v>1253.0</v>
      </c>
      <c r="D224" s="4">
        <v>84152.0</v>
      </c>
    </row>
    <row r="225" ht="15.75" customHeight="1">
      <c r="B225" s="3">
        <v>45150.0</v>
      </c>
      <c r="C225" s="4">
        <v>288.0</v>
      </c>
      <c r="D225" s="4">
        <v>17289.0</v>
      </c>
    </row>
    <row r="226" ht="15.75" customHeight="1">
      <c r="B226" s="3">
        <v>45151.0</v>
      </c>
      <c r="C226" s="4">
        <v>713.0</v>
      </c>
      <c r="D226" s="4">
        <v>54915.0</v>
      </c>
    </row>
    <row r="227" ht="15.75" customHeight="1">
      <c r="B227" s="3">
        <v>45152.0</v>
      </c>
      <c r="C227" s="8">
        <v>2088.0</v>
      </c>
      <c r="D227" s="4">
        <v>94500.0</v>
      </c>
    </row>
    <row r="228" ht="15.75" customHeight="1">
      <c r="B228" s="3">
        <v>45153.0</v>
      </c>
      <c r="C228" s="8">
        <v>2130.0</v>
      </c>
      <c r="D228" s="4">
        <v>75026.0</v>
      </c>
    </row>
    <row r="229" ht="15.75" customHeight="1">
      <c r="B229" s="3">
        <v>45154.0</v>
      </c>
      <c r="C229" s="4">
        <v>759.0</v>
      </c>
      <c r="D229" s="4">
        <v>30890.0</v>
      </c>
    </row>
    <row r="230" ht="15.75" customHeight="1">
      <c r="B230" s="3">
        <v>45155.0</v>
      </c>
      <c r="C230" s="8">
        <v>1213.0</v>
      </c>
      <c r="D230" s="4">
        <v>91216.0</v>
      </c>
    </row>
    <row r="231" ht="15.75" customHeight="1">
      <c r="B231" s="3">
        <v>45156.0</v>
      </c>
      <c r="C231" s="8">
        <v>1399.0</v>
      </c>
      <c r="D231" s="4">
        <v>72902.0</v>
      </c>
    </row>
    <row r="232" ht="15.75" customHeight="1">
      <c r="B232" s="3">
        <v>45157.0</v>
      </c>
      <c r="C232" s="4">
        <v>262.0</v>
      </c>
      <c r="D232" s="4">
        <v>11758.0</v>
      </c>
    </row>
    <row r="233" ht="15.75" customHeight="1">
      <c r="B233" s="3">
        <v>45158.0</v>
      </c>
      <c r="C233" s="4">
        <v>288.0</v>
      </c>
      <c r="D233" s="4">
        <v>14164.0</v>
      </c>
    </row>
    <row r="234" ht="15.75" customHeight="1">
      <c r="B234" s="3">
        <v>45159.0</v>
      </c>
      <c r="C234" s="4">
        <v>193.0</v>
      </c>
      <c r="D234" s="4">
        <v>11775.0</v>
      </c>
    </row>
    <row r="235" ht="15.75" customHeight="1">
      <c r="B235" s="3">
        <v>45160.0</v>
      </c>
      <c r="C235" s="8">
        <v>1403.0</v>
      </c>
      <c r="D235" s="4">
        <v>54177.0</v>
      </c>
    </row>
    <row r="236" ht="15.75" customHeight="1">
      <c r="B236" s="3">
        <v>45161.0</v>
      </c>
      <c r="C236" s="8">
        <v>2307.0</v>
      </c>
      <c r="D236" s="4">
        <v>88744.0</v>
      </c>
    </row>
    <row r="237" ht="15.75" customHeight="1">
      <c r="B237" s="3">
        <v>45162.0</v>
      </c>
      <c r="C237" s="4">
        <v>703.0</v>
      </c>
      <c r="D237" s="4">
        <v>23927.0</v>
      </c>
    </row>
    <row r="238" ht="15.75" customHeight="1">
      <c r="B238" s="3">
        <v>45163.0</v>
      </c>
      <c r="C238" s="8">
        <v>1409.0</v>
      </c>
      <c r="D238" s="4">
        <v>89752.0</v>
      </c>
    </row>
    <row r="239" ht="15.75" customHeight="1">
      <c r="B239" s="3">
        <v>45164.0</v>
      </c>
      <c r="C239" s="8">
        <v>1257.0</v>
      </c>
      <c r="D239" s="4">
        <v>76685.0</v>
      </c>
    </row>
    <row r="240" ht="15.75" customHeight="1">
      <c r="B240" s="3">
        <v>45165.0</v>
      </c>
      <c r="C240" s="8">
        <v>1443.0</v>
      </c>
      <c r="D240" s="4">
        <v>58195.0</v>
      </c>
    </row>
    <row r="241" ht="15.75" customHeight="1">
      <c r="B241" s="3">
        <v>45166.0</v>
      </c>
      <c r="C241" s="4">
        <v>390.0</v>
      </c>
      <c r="D241" s="4">
        <v>26918.0</v>
      </c>
    </row>
    <row r="242" ht="15.75" customHeight="1">
      <c r="B242" s="3">
        <v>45167.0</v>
      </c>
      <c r="C242" s="4">
        <v>621.0</v>
      </c>
      <c r="D242" s="4">
        <v>50916.0</v>
      </c>
    </row>
    <row r="243" ht="15.75" customHeight="1">
      <c r="B243" s="3">
        <v>45168.0</v>
      </c>
      <c r="C243" s="4">
        <v>289.0</v>
      </c>
      <c r="D243" s="4">
        <v>14691.0</v>
      </c>
    </row>
    <row r="244" ht="15.75" customHeight="1">
      <c r="B244" s="3">
        <v>45169.0</v>
      </c>
      <c r="C244" s="8">
        <v>1325.0</v>
      </c>
      <c r="D244" s="4">
        <v>69387.0</v>
      </c>
    </row>
    <row r="245" ht="15.75" customHeight="1">
      <c r="B245" s="3">
        <v>45170.0</v>
      </c>
      <c r="C245" s="8">
        <v>1302.0</v>
      </c>
      <c r="D245" s="4">
        <v>88615.0</v>
      </c>
    </row>
    <row r="246" ht="15.75" customHeight="1">
      <c r="B246" s="3">
        <v>45171.0</v>
      </c>
      <c r="C246" s="8">
        <v>1431.0</v>
      </c>
      <c r="D246" s="4">
        <v>54624.0</v>
      </c>
    </row>
    <row r="247" ht="15.75" customHeight="1">
      <c r="B247" s="3">
        <v>45172.0</v>
      </c>
      <c r="C247" s="4">
        <v>586.0</v>
      </c>
      <c r="D247" s="4">
        <v>22282.0</v>
      </c>
    </row>
    <row r="248" ht="15.75" customHeight="1">
      <c r="B248" s="3">
        <v>45173.0</v>
      </c>
      <c r="C248" s="8">
        <v>2514.0</v>
      </c>
      <c r="D248" s="4">
        <v>93812.0</v>
      </c>
    </row>
    <row r="249" ht="15.75" customHeight="1">
      <c r="B249" s="3">
        <v>45174.0</v>
      </c>
      <c r="C249" s="8">
        <v>1821.0</v>
      </c>
      <c r="D249" s="4">
        <v>97918.0</v>
      </c>
    </row>
    <row r="250" ht="15.75" customHeight="1">
      <c r="B250" s="3">
        <v>45175.0</v>
      </c>
      <c r="C250" s="4">
        <v>820.0</v>
      </c>
      <c r="D250" s="4">
        <v>32836.0</v>
      </c>
    </row>
    <row r="251" ht="15.75" customHeight="1">
      <c r="B251" s="3">
        <v>45176.0</v>
      </c>
      <c r="C251" s="4">
        <v>205.0</v>
      </c>
      <c r="D251" s="4">
        <v>15457.0</v>
      </c>
    </row>
    <row r="252" ht="15.75" customHeight="1">
      <c r="B252" s="3">
        <v>45177.0</v>
      </c>
      <c r="C252" s="4">
        <v>659.0</v>
      </c>
      <c r="D252" s="4">
        <v>48461.0</v>
      </c>
    </row>
    <row r="253" ht="15.75" customHeight="1">
      <c r="B253" s="3">
        <v>45178.0</v>
      </c>
      <c r="C253" s="4">
        <v>410.0</v>
      </c>
      <c r="D253" s="4">
        <v>15448.0</v>
      </c>
    </row>
    <row r="254" ht="15.75" customHeight="1">
      <c r="B254" s="3">
        <v>45179.0</v>
      </c>
      <c r="C254" s="8">
        <v>1213.0</v>
      </c>
      <c r="D254" s="4">
        <v>63862.0</v>
      </c>
    </row>
    <row r="255" ht="15.75" customHeight="1">
      <c r="B255" s="3">
        <v>45180.0</v>
      </c>
      <c r="C255" s="4">
        <v>628.0</v>
      </c>
      <c r="D255" s="4">
        <v>62801.0</v>
      </c>
    </row>
    <row r="256" ht="15.75" customHeight="1">
      <c r="B256" s="3">
        <v>45181.0</v>
      </c>
      <c r="C256" s="4">
        <v>779.0</v>
      </c>
      <c r="D256" s="4">
        <v>53734.0</v>
      </c>
    </row>
    <row r="257" ht="15.75" customHeight="1">
      <c r="B257" s="3">
        <v>45182.0</v>
      </c>
      <c r="C257" s="8">
        <v>1530.0</v>
      </c>
      <c r="D257" s="4">
        <v>94469.0</v>
      </c>
    </row>
    <row r="258" ht="15.75" customHeight="1">
      <c r="B258" s="3">
        <v>45183.0</v>
      </c>
      <c r="C258" s="8">
        <v>1663.0</v>
      </c>
      <c r="D258" s="4">
        <v>78852.0</v>
      </c>
    </row>
    <row r="259" ht="15.75" customHeight="1">
      <c r="B259" s="3">
        <v>45184.0</v>
      </c>
      <c r="C259" s="4">
        <v>551.0</v>
      </c>
      <c r="D259" s="4">
        <v>54645.0</v>
      </c>
    </row>
    <row r="260" ht="15.75" customHeight="1">
      <c r="B260" s="3">
        <v>45185.0</v>
      </c>
      <c r="C260" s="8">
        <v>1404.0</v>
      </c>
      <c r="D260" s="4">
        <v>53416.0</v>
      </c>
    </row>
    <row r="261" ht="15.75" customHeight="1">
      <c r="B261" s="3">
        <v>45186.0</v>
      </c>
      <c r="C261" s="4">
        <v>575.0</v>
      </c>
      <c r="D261" s="4">
        <v>33824.0</v>
      </c>
    </row>
    <row r="262" ht="15.75" customHeight="1">
      <c r="B262" s="3">
        <v>45187.0</v>
      </c>
      <c r="C262" s="4">
        <v>174.0</v>
      </c>
      <c r="D262" s="4">
        <v>12008.0</v>
      </c>
    </row>
    <row r="263" ht="15.75" customHeight="1">
      <c r="B263" s="3">
        <v>45188.0</v>
      </c>
      <c r="C263" s="4">
        <v>150.0</v>
      </c>
      <c r="D263" s="4">
        <v>14356.0</v>
      </c>
    </row>
    <row r="264" ht="15.75" customHeight="1">
      <c r="B264" s="3">
        <v>45189.0</v>
      </c>
      <c r="C264" s="4">
        <v>151.0</v>
      </c>
      <c r="D264" s="4">
        <v>11629.0</v>
      </c>
    </row>
    <row r="265" ht="15.75" customHeight="1">
      <c r="B265" s="3">
        <v>45190.0</v>
      </c>
      <c r="C265" s="8">
        <v>1403.0</v>
      </c>
      <c r="D265" s="4">
        <v>91727.0</v>
      </c>
    </row>
    <row r="266" ht="15.75" customHeight="1">
      <c r="B266" s="3">
        <v>45191.0</v>
      </c>
      <c r="C266" s="8">
        <v>1592.0</v>
      </c>
      <c r="D266" s="4">
        <v>80004.0</v>
      </c>
    </row>
    <row r="267" ht="15.75" customHeight="1">
      <c r="B267" s="3">
        <v>45192.0</v>
      </c>
      <c r="C267" s="4">
        <v>669.0</v>
      </c>
      <c r="D267" s="4">
        <v>23005.0</v>
      </c>
    </row>
    <row r="268" ht="15.75" customHeight="1">
      <c r="B268" s="3">
        <v>45193.0</v>
      </c>
      <c r="C268" s="8">
        <v>1615.0</v>
      </c>
      <c r="D268" s="4">
        <v>55696.0</v>
      </c>
    </row>
    <row r="269" ht="15.75" customHeight="1">
      <c r="B269" s="3">
        <v>45194.0</v>
      </c>
      <c r="C269" s="4">
        <v>872.0</v>
      </c>
      <c r="D269" s="4">
        <v>67655.0</v>
      </c>
    </row>
    <row r="270" ht="15.75" customHeight="1">
      <c r="B270" s="3">
        <v>45195.0</v>
      </c>
      <c r="C270" s="8">
        <v>1615.0</v>
      </c>
      <c r="D270" s="4">
        <v>72129.0</v>
      </c>
    </row>
    <row r="271" ht="15.75" customHeight="1">
      <c r="B271" s="3">
        <v>45196.0</v>
      </c>
      <c r="C271" s="4">
        <v>660.0</v>
      </c>
      <c r="D271" s="4">
        <v>40518.0</v>
      </c>
    </row>
    <row r="272" ht="15.75" customHeight="1">
      <c r="B272" s="3">
        <v>45197.0</v>
      </c>
      <c r="C272" s="4">
        <v>232.0</v>
      </c>
      <c r="D272" s="4">
        <v>14436.0</v>
      </c>
    </row>
    <row r="273" ht="15.75" customHeight="1">
      <c r="B273" s="3">
        <v>45198.0</v>
      </c>
      <c r="C273" s="4">
        <v>760.0</v>
      </c>
      <c r="D273" s="4">
        <v>27249.0</v>
      </c>
    </row>
    <row r="274" ht="15.75" customHeight="1">
      <c r="B274" s="3">
        <v>45199.0</v>
      </c>
      <c r="C274" s="8">
        <v>1069.0</v>
      </c>
      <c r="D274" s="4">
        <v>40345.0</v>
      </c>
    </row>
    <row r="275" ht="15.75" customHeight="1">
      <c r="B275" s="3">
        <v>45200.0</v>
      </c>
      <c r="C275" s="8">
        <v>1610.0</v>
      </c>
      <c r="D275" s="4">
        <v>62184.0</v>
      </c>
    </row>
    <row r="276" ht="15.75" customHeight="1">
      <c r="B276" s="3">
        <v>45201.0</v>
      </c>
      <c r="C276" s="8">
        <v>2255.0</v>
      </c>
      <c r="D276" s="4">
        <v>78606.0</v>
      </c>
    </row>
    <row r="277" ht="15.75" customHeight="1">
      <c r="B277" s="3">
        <v>45202.0</v>
      </c>
      <c r="C277" s="8">
        <v>1841.0</v>
      </c>
      <c r="D277" s="4">
        <v>91632.0</v>
      </c>
    </row>
    <row r="278" ht="15.75" customHeight="1">
      <c r="B278" s="3">
        <v>45203.0</v>
      </c>
      <c r="C278" s="8">
        <v>1611.0</v>
      </c>
      <c r="D278" s="4">
        <v>87605.0</v>
      </c>
    </row>
    <row r="279" ht="15.75" customHeight="1">
      <c r="B279" s="3">
        <v>45204.0</v>
      </c>
      <c r="C279" s="4">
        <v>774.0</v>
      </c>
      <c r="D279" s="4">
        <v>49315.0</v>
      </c>
    </row>
    <row r="280" ht="15.75" customHeight="1">
      <c r="B280" s="3">
        <v>45205.0</v>
      </c>
      <c r="C280" s="8">
        <v>1293.0</v>
      </c>
      <c r="D280" s="4">
        <v>53875.0</v>
      </c>
    </row>
    <row r="281" ht="15.75" customHeight="1">
      <c r="B281" s="3">
        <v>45206.0</v>
      </c>
      <c r="C281" s="4">
        <v>395.0</v>
      </c>
      <c r="D281" s="4">
        <v>18309.0</v>
      </c>
    </row>
    <row r="282" ht="15.75" customHeight="1">
      <c r="B282" s="3">
        <v>45207.0</v>
      </c>
      <c r="C282" s="8">
        <v>1904.0</v>
      </c>
      <c r="D282" s="4">
        <v>83535.0</v>
      </c>
    </row>
    <row r="283" ht="15.75" customHeight="1">
      <c r="B283" s="3">
        <v>45208.0</v>
      </c>
      <c r="C283" s="8">
        <v>1162.0</v>
      </c>
      <c r="D283" s="4">
        <v>66799.0</v>
      </c>
    </row>
    <row r="284" ht="15.75" customHeight="1">
      <c r="B284" s="3">
        <v>45209.0</v>
      </c>
      <c r="C284" s="8">
        <v>1488.0</v>
      </c>
      <c r="D284" s="4">
        <v>87053.0</v>
      </c>
    </row>
    <row r="285" ht="15.75" customHeight="1">
      <c r="B285" s="3">
        <v>45210.0</v>
      </c>
      <c r="C285" s="8">
        <v>1074.0</v>
      </c>
      <c r="D285" s="4">
        <v>65507.0</v>
      </c>
    </row>
    <row r="286" ht="15.75" customHeight="1">
      <c r="B286" s="3">
        <v>45211.0</v>
      </c>
      <c r="C286" s="4">
        <v>274.0</v>
      </c>
      <c r="D286" s="4">
        <v>18907.0</v>
      </c>
    </row>
    <row r="287" ht="15.75" customHeight="1">
      <c r="B287" s="3">
        <v>45212.0</v>
      </c>
      <c r="C287" s="8">
        <v>2508.0</v>
      </c>
      <c r="D287" s="4">
        <v>88312.0</v>
      </c>
    </row>
    <row r="288" ht="15.75" customHeight="1">
      <c r="B288" s="3">
        <v>45213.0</v>
      </c>
      <c r="C288" s="4">
        <v>873.0</v>
      </c>
      <c r="D288" s="4">
        <v>33076.0</v>
      </c>
    </row>
    <row r="289" ht="15.75" customHeight="1">
      <c r="B289" s="3">
        <v>45214.0</v>
      </c>
      <c r="C289" s="8">
        <v>1134.0</v>
      </c>
      <c r="D289" s="4">
        <v>55614.0</v>
      </c>
    </row>
    <row r="290" ht="15.75" customHeight="1">
      <c r="B290" s="3">
        <v>45215.0</v>
      </c>
      <c r="C290" s="4">
        <v>861.0</v>
      </c>
      <c r="D290" s="4">
        <v>54210.0</v>
      </c>
    </row>
    <row r="291" ht="15.75" customHeight="1">
      <c r="B291" s="3">
        <v>45216.0</v>
      </c>
      <c r="C291" s="4">
        <v>722.0</v>
      </c>
      <c r="D291" s="4">
        <v>42018.0</v>
      </c>
    </row>
    <row r="292" ht="15.75" customHeight="1">
      <c r="B292" s="3">
        <v>45217.0</v>
      </c>
      <c r="C292" s="4">
        <v>315.0</v>
      </c>
      <c r="D292" s="4">
        <v>23750.0</v>
      </c>
    </row>
    <row r="293" ht="15.75" customHeight="1">
      <c r="B293" s="3">
        <v>45218.0</v>
      </c>
      <c r="C293" s="4">
        <v>235.0</v>
      </c>
      <c r="D293" s="4">
        <v>16272.0</v>
      </c>
    </row>
    <row r="294" ht="15.75" customHeight="1">
      <c r="B294" s="3">
        <v>45219.0</v>
      </c>
      <c r="C294" s="8">
        <v>1826.0</v>
      </c>
      <c r="D294" s="4">
        <v>83037.0</v>
      </c>
    </row>
    <row r="295" ht="15.75" customHeight="1">
      <c r="B295" s="3">
        <v>45220.0</v>
      </c>
      <c r="C295" s="8">
        <v>1989.0</v>
      </c>
      <c r="D295" s="4">
        <v>85760.0</v>
      </c>
    </row>
    <row r="296" ht="15.75" customHeight="1">
      <c r="B296" s="3">
        <v>45221.0</v>
      </c>
      <c r="C296" s="4">
        <v>922.0</v>
      </c>
      <c r="D296" s="4">
        <v>59118.0</v>
      </c>
    </row>
    <row r="297" ht="15.75" customHeight="1">
      <c r="B297" s="3">
        <v>45222.0</v>
      </c>
      <c r="C297" s="4">
        <v>869.0</v>
      </c>
      <c r="D297" s="4">
        <v>59548.0</v>
      </c>
    </row>
    <row r="298" ht="15.75" customHeight="1">
      <c r="B298" s="3">
        <v>45223.0</v>
      </c>
      <c r="C298" s="4">
        <v>530.0</v>
      </c>
      <c r="D298" s="4">
        <v>18054.0</v>
      </c>
    </row>
    <row r="299" ht="15.75" customHeight="1">
      <c r="B299" s="3">
        <v>45224.0</v>
      </c>
      <c r="C299" s="8">
        <v>1213.0</v>
      </c>
      <c r="D299" s="4">
        <v>80909.0</v>
      </c>
    </row>
    <row r="300" ht="15.75" customHeight="1">
      <c r="B300" s="3">
        <v>45225.0</v>
      </c>
      <c r="C300" s="4">
        <v>465.0</v>
      </c>
      <c r="D300" s="4">
        <v>18941.0</v>
      </c>
    </row>
    <row r="301" ht="15.75" customHeight="1">
      <c r="B301" s="3">
        <v>45226.0</v>
      </c>
      <c r="C301" s="4">
        <v>896.0</v>
      </c>
      <c r="D301" s="4">
        <v>50637.0</v>
      </c>
    </row>
    <row r="302" ht="15.75" customHeight="1">
      <c r="B302" s="3">
        <v>45227.0</v>
      </c>
      <c r="C302" s="4">
        <v>988.0</v>
      </c>
      <c r="D302" s="4">
        <v>55842.0</v>
      </c>
    </row>
    <row r="303" ht="15.75" customHeight="1">
      <c r="B303" s="3">
        <v>45228.0</v>
      </c>
      <c r="C303" s="8">
        <v>1868.0</v>
      </c>
      <c r="D303" s="4">
        <v>98340.0</v>
      </c>
    </row>
    <row r="304" ht="15.75" customHeight="1">
      <c r="B304" s="3">
        <v>45229.0</v>
      </c>
      <c r="C304" s="8">
        <v>1199.0</v>
      </c>
      <c r="D304" s="4">
        <v>64827.0</v>
      </c>
    </row>
    <row r="305" ht="15.75" customHeight="1">
      <c r="B305" s="3">
        <v>45230.0</v>
      </c>
      <c r="C305" s="8">
        <v>1403.0</v>
      </c>
      <c r="D305" s="4">
        <v>47590.0</v>
      </c>
    </row>
    <row r="306" ht="15.75" customHeight="1">
      <c r="B306" s="3">
        <v>45231.0</v>
      </c>
      <c r="C306" s="4">
        <v>454.0</v>
      </c>
      <c r="D306" s="4">
        <v>17032.0</v>
      </c>
    </row>
    <row r="307" ht="15.75" customHeight="1">
      <c r="B307" s="3">
        <v>45232.0</v>
      </c>
      <c r="C307" s="8">
        <v>1877.0</v>
      </c>
      <c r="D307" s="4">
        <v>98321.0</v>
      </c>
    </row>
    <row r="308" ht="15.75" customHeight="1">
      <c r="B308" s="3">
        <v>45233.0</v>
      </c>
      <c r="C308" s="4">
        <v>221.0</v>
      </c>
      <c r="D308" s="4">
        <v>13212.0</v>
      </c>
    </row>
    <row r="309" ht="15.75" customHeight="1">
      <c r="B309" s="3">
        <v>45234.0</v>
      </c>
      <c r="C309" s="4">
        <v>230.0</v>
      </c>
      <c r="D309" s="4">
        <v>12657.0</v>
      </c>
    </row>
    <row r="310" ht="15.75" customHeight="1">
      <c r="B310" s="3">
        <v>45235.0</v>
      </c>
      <c r="C310" s="4">
        <v>493.0</v>
      </c>
      <c r="D310" s="4">
        <v>19896.0</v>
      </c>
    </row>
    <row r="311" ht="15.75" customHeight="1">
      <c r="B311" s="3">
        <v>45236.0</v>
      </c>
      <c r="C311" s="8">
        <v>2610.0</v>
      </c>
      <c r="D311" s="4">
        <v>88487.0</v>
      </c>
    </row>
    <row r="312" ht="15.75" customHeight="1">
      <c r="B312" s="3">
        <v>45237.0</v>
      </c>
      <c r="C312" s="4">
        <v>694.0</v>
      </c>
      <c r="D312" s="4">
        <v>35632.0</v>
      </c>
    </row>
    <row r="313" ht="15.75" customHeight="1">
      <c r="B313" s="3">
        <v>45238.0</v>
      </c>
      <c r="C313" s="8">
        <v>2171.0</v>
      </c>
      <c r="D313" s="4">
        <v>94021.0</v>
      </c>
    </row>
    <row r="314" ht="15.75" customHeight="1">
      <c r="B314" s="3">
        <v>45239.0</v>
      </c>
      <c r="C314" s="8">
        <v>1635.0</v>
      </c>
      <c r="D314" s="4">
        <v>68712.0</v>
      </c>
    </row>
    <row r="315" ht="15.75" customHeight="1">
      <c r="B315" s="3">
        <v>45240.0</v>
      </c>
      <c r="C315" s="4">
        <v>501.0</v>
      </c>
      <c r="D315" s="4">
        <v>20540.0</v>
      </c>
    </row>
    <row r="316" ht="15.75" customHeight="1">
      <c r="B316" s="3">
        <v>45241.0</v>
      </c>
      <c r="C316" s="4">
        <v>418.0</v>
      </c>
      <c r="D316" s="4">
        <v>35478.0</v>
      </c>
    </row>
    <row r="317" ht="15.75" customHeight="1">
      <c r="B317" s="3">
        <v>45242.0</v>
      </c>
      <c r="C317" s="4">
        <v>728.0</v>
      </c>
      <c r="D317" s="4">
        <v>53934.0</v>
      </c>
    </row>
    <row r="318" ht="15.75" customHeight="1">
      <c r="B318" s="3">
        <v>45243.0</v>
      </c>
      <c r="C318" s="8">
        <v>2393.0</v>
      </c>
      <c r="D318" s="4">
        <v>93139.0</v>
      </c>
    </row>
    <row r="319" ht="15.75" customHeight="1">
      <c r="B319" s="3">
        <v>45244.0</v>
      </c>
      <c r="C319" s="8">
        <v>1267.0</v>
      </c>
      <c r="D319" s="4">
        <v>76825.0</v>
      </c>
    </row>
    <row r="320" ht="15.75" customHeight="1">
      <c r="B320" s="3">
        <v>45245.0</v>
      </c>
      <c r="C320" s="8">
        <v>1172.0</v>
      </c>
      <c r="D320" s="4">
        <v>69812.0</v>
      </c>
    </row>
    <row r="321" ht="15.75" customHeight="1">
      <c r="B321" s="3">
        <v>45246.0</v>
      </c>
      <c r="C321" s="4">
        <v>566.0</v>
      </c>
      <c r="D321" s="4">
        <v>55567.0</v>
      </c>
    </row>
    <row r="322" ht="15.75" customHeight="1">
      <c r="B322" s="3">
        <v>45247.0</v>
      </c>
      <c r="C322" s="8">
        <v>2027.0</v>
      </c>
      <c r="D322" s="4">
        <v>71139.0</v>
      </c>
    </row>
    <row r="323" ht="15.75" customHeight="1">
      <c r="B323" s="3">
        <v>45248.0</v>
      </c>
      <c r="C323" s="8">
        <v>1044.0</v>
      </c>
      <c r="D323" s="4">
        <v>72501.0</v>
      </c>
    </row>
    <row r="324" ht="15.75" customHeight="1">
      <c r="B324" s="3">
        <v>45249.0</v>
      </c>
      <c r="C324" s="4">
        <v>716.0</v>
      </c>
      <c r="D324" s="4">
        <v>60693.0</v>
      </c>
    </row>
    <row r="325" ht="15.75" customHeight="1">
      <c r="B325" s="3">
        <v>45250.0</v>
      </c>
      <c r="C325" s="8">
        <v>1478.0</v>
      </c>
      <c r="D325" s="4">
        <v>76237.0</v>
      </c>
    </row>
    <row r="326" ht="15.75" customHeight="1">
      <c r="B326" s="3">
        <v>45251.0</v>
      </c>
      <c r="C326" s="4">
        <v>262.0</v>
      </c>
      <c r="D326" s="4">
        <v>25965.0</v>
      </c>
    </row>
    <row r="327" ht="15.75" customHeight="1">
      <c r="B327" s="3">
        <v>45252.0</v>
      </c>
      <c r="C327" s="8">
        <v>2335.0</v>
      </c>
      <c r="D327" s="4">
        <v>97709.0</v>
      </c>
    </row>
    <row r="328" ht="15.75" customHeight="1">
      <c r="B328" s="3">
        <v>45253.0</v>
      </c>
      <c r="C328" s="4">
        <v>755.0</v>
      </c>
      <c r="D328" s="4">
        <v>62949.0</v>
      </c>
    </row>
    <row r="329" ht="15.75" customHeight="1">
      <c r="B329" s="3">
        <v>45254.0</v>
      </c>
      <c r="C329" s="4">
        <v>756.0</v>
      </c>
      <c r="D329" s="4">
        <v>49105.0</v>
      </c>
    </row>
    <row r="330" ht="15.75" customHeight="1">
      <c r="B330" s="3">
        <v>45255.0</v>
      </c>
      <c r="C330" s="4">
        <v>228.0</v>
      </c>
      <c r="D330" s="4">
        <v>17204.0</v>
      </c>
    </row>
    <row r="331" ht="15.75" customHeight="1">
      <c r="B331" s="3">
        <v>45256.0</v>
      </c>
      <c r="C331" s="4">
        <v>174.0</v>
      </c>
      <c r="D331" s="4">
        <v>16782.0</v>
      </c>
    </row>
    <row r="332" ht="15.75" customHeight="1">
      <c r="B332" s="3">
        <v>45257.0</v>
      </c>
      <c r="C332" s="4">
        <v>245.0</v>
      </c>
      <c r="D332" s="4">
        <v>14376.0</v>
      </c>
    </row>
    <row r="333" ht="15.75" customHeight="1">
      <c r="B333" s="3">
        <v>45258.0</v>
      </c>
      <c r="C333" s="8">
        <v>1839.0</v>
      </c>
      <c r="D333" s="4">
        <v>78944.0</v>
      </c>
    </row>
    <row r="334" ht="15.75" customHeight="1">
      <c r="B334" s="3">
        <v>45259.0</v>
      </c>
      <c r="C334" s="4">
        <v>679.0</v>
      </c>
      <c r="D334" s="4">
        <v>26974.0</v>
      </c>
    </row>
    <row r="335" ht="15.75" customHeight="1">
      <c r="B335" s="3">
        <v>45260.0</v>
      </c>
      <c r="C335" s="8">
        <v>1013.0</v>
      </c>
      <c r="D335" s="4">
        <v>38378.0</v>
      </c>
    </row>
    <row r="336" ht="15.75" customHeight="1">
      <c r="B336" s="3">
        <v>45261.0</v>
      </c>
      <c r="C336" s="4">
        <v>2447.0</v>
      </c>
      <c r="D336" s="8">
        <v>99954.0</v>
      </c>
    </row>
    <row r="337" ht="15.75" customHeight="1">
      <c r="B337" s="3">
        <v>45262.0</v>
      </c>
      <c r="C337" s="4">
        <v>1877.0</v>
      </c>
      <c r="D337" s="8">
        <v>92967.0</v>
      </c>
    </row>
    <row r="338" ht="15.75" customHeight="1">
      <c r="B338" s="3">
        <v>45263.0</v>
      </c>
      <c r="C338" s="4">
        <v>670.0</v>
      </c>
      <c r="D338" s="8">
        <v>57849.0</v>
      </c>
    </row>
    <row r="339" ht="15.75" customHeight="1">
      <c r="B339" s="3">
        <v>45264.0</v>
      </c>
      <c r="C339" s="4">
        <v>2767.0</v>
      </c>
      <c r="D339" s="8">
        <v>106053.0</v>
      </c>
    </row>
    <row r="340" ht="15.75" customHeight="1">
      <c r="B340" s="3">
        <v>45265.0</v>
      </c>
      <c r="C340" s="4">
        <v>768.0</v>
      </c>
      <c r="D340" s="8">
        <v>76114.0</v>
      </c>
    </row>
    <row r="341" ht="15.75" customHeight="1">
      <c r="B341" s="3">
        <v>45266.0</v>
      </c>
      <c r="C341" s="4">
        <v>1688.0</v>
      </c>
      <c r="D341" s="8">
        <v>56666.0</v>
      </c>
    </row>
    <row r="342" ht="15.75" customHeight="1">
      <c r="B342" s="3">
        <v>45267.0</v>
      </c>
      <c r="C342" s="4">
        <v>1488.0</v>
      </c>
      <c r="D342" s="8">
        <v>71577.0</v>
      </c>
    </row>
    <row r="343" ht="15.75" customHeight="1">
      <c r="B343" s="3">
        <v>45268.0</v>
      </c>
      <c r="C343" s="4">
        <v>1666.0</v>
      </c>
      <c r="D343" s="8">
        <v>106918.0</v>
      </c>
    </row>
    <row r="344" ht="15.75" customHeight="1">
      <c r="B344" s="3">
        <v>45269.0</v>
      </c>
      <c r="C344" s="4">
        <v>1640.0</v>
      </c>
      <c r="D344" s="8">
        <v>71077.0</v>
      </c>
    </row>
    <row r="345" ht="15.75" customHeight="1">
      <c r="B345" s="3">
        <v>45270.0</v>
      </c>
      <c r="C345" s="4">
        <v>828.0</v>
      </c>
      <c r="D345" s="8">
        <v>44348.0</v>
      </c>
    </row>
    <row r="346" ht="15.75" customHeight="1">
      <c r="B346" s="3">
        <v>45271.0</v>
      </c>
      <c r="C346" s="4">
        <v>756.0</v>
      </c>
      <c r="D346" s="8">
        <v>64166.0</v>
      </c>
    </row>
    <row r="347" ht="15.75" customHeight="1">
      <c r="B347" s="3">
        <v>45272.0</v>
      </c>
      <c r="C347" s="4">
        <v>343.0</v>
      </c>
      <c r="D347" s="8">
        <v>34386.0</v>
      </c>
    </row>
    <row r="348" ht="15.75" customHeight="1">
      <c r="B348" s="3">
        <v>45273.0</v>
      </c>
      <c r="C348" s="4">
        <v>2224.0</v>
      </c>
      <c r="D348" s="8">
        <v>110153.0</v>
      </c>
    </row>
    <row r="349" ht="15.75" customHeight="1">
      <c r="B349" s="3">
        <v>45274.0</v>
      </c>
      <c r="C349" s="4">
        <v>741.0</v>
      </c>
      <c r="D349" s="8">
        <v>24831.0</v>
      </c>
    </row>
    <row r="350" ht="15.75" customHeight="1">
      <c r="B350" s="3">
        <v>45275.0</v>
      </c>
      <c r="C350" s="4">
        <v>3006.0</v>
      </c>
      <c r="D350" s="8">
        <v>108166.0</v>
      </c>
    </row>
    <row r="351" ht="15.75" customHeight="1">
      <c r="B351" s="3">
        <v>45276.0</v>
      </c>
      <c r="C351" s="4">
        <v>2488.0</v>
      </c>
      <c r="D351" s="8">
        <v>91150.0</v>
      </c>
    </row>
    <row r="352" ht="15.75" customHeight="1">
      <c r="B352" s="3">
        <v>45277.0</v>
      </c>
      <c r="C352" s="4">
        <v>673.0</v>
      </c>
      <c r="D352" s="8">
        <v>46523.0</v>
      </c>
    </row>
    <row r="353" ht="15.75" customHeight="1">
      <c r="B353" s="3">
        <v>45278.0</v>
      </c>
      <c r="C353" s="4">
        <v>1648.0</v>
      </c>
      <c r="D353" s="8">
        <v>98159.0</v>
      </c>
    </row>
    <row r="354" ht="15.75" customHeight="1">
      <c r="B354" s="3">
        <v>45279.0</v>
      </c>
      <c r="C354" s="4">
        <v>2448.0</v>
      </c>
      <c r="D354" s="8">
        <v>83588.0</v>
      </c>
    </row>
    <row r="355" ht="15.75" customHeight="1">
      <c r="B355" s="3">
        <v>45280.0</v>
      </c>
      <c r="C355" s="4">
        <v>2719.0</v>
      </c>
      <c r="D355" s="8">
        <v>104190.0</v>
      </c>
    </row>
    <row r="356" ht="15.75" customHeight="1">
      <c r="B356" s="3">
        <v>45281.0</v>
      </c>
      <c r="C356" s="4">
        <v>274.0</v>
      </c>
      <c r="D356" s="8">
        <v>24959.0</v>
      </c>
    </row>
    <row r="357" ht="15.75" customHeight="1">
      <c r="B357" s="3">
        <v>45282.0</v>
      </c>
      <c r="C357" s="4">
        <v>1058.0</v>
      </c>
      <c r="D357" s="8">
        <v>67027.0</v>
      </c>
    </row>
    <row r="358" ht="15.75" customHeight="1">
      <c r="B358" s="3">
        <v>45283.0</v>
      </c>
      <c r="C358" s="4">
        <v>757.0</v>
      </c>
      <c r="D358" s="8">
        <v>70871.0</v>
      </c>
    </row>
    <row r="359" ht="15.75" customHeight="1">
      <c r="B359" s="3">
        <v>45284.0</v>
      </c>
      <c r="C359" s="4">
        <v>1728.0</v>
      </c>
      <c r="D359" s="8">
        <v>80032.0</v>
      </c>
    </row>
    <row r="360" ht="15.75" customHeight="1">
      <c r="B360" s="3">
        <v>45285.0</v>
      </c>
      <c r="C360" s="4">
        <v>1317.0</v>
      </c>
      <c r="D360" s="8">
        <v>108915.0</v>
      </c>
    </row>
    <row r="361" ht="15.75" customHeight="1">
      <c r="B361" s="3">
        <v>45286.0</v>
      </c>
      <c r="C361" s="4">
        <v>574.0</v>
      </c>
      <c r="D361" s="8">
        <v>31756.0</v>
      </c>
    </row>
    <row r="362" ht="15.75" customHeight="1">
      <c r="B362" s="3">
        <v>45287.0</v>
      </c>
      <c r="C362" s="4">
        <v>2150.0</v>
      </c>
      <c r="D362" s="8">
        <v>95173.0</v>
      </c>
    </row>
    <row r="363" ht="15.75" customHeight="1">
      <c r="B363" s="3">
        <v>45288.0</v>
      </c>
      <c r="C363" s="4">
        <v>2290.0</v>
      </c>
      <c r="D363" s="8">
        <v>100035.0</v>
      </c>
    </row>
    <row r="364" ht="15.75" customHeight="1">
      <c r="B364" s="3">
        <v>45289.0</v>
      </c>
      <c r="C364" s="4">
        <v>1067.0</v>
      </c>
      <c r="D364" s="8">
        <v>59646.0</v>
      </c>
    </row>
    <row r="365" ht="15.75" customHeight="1">
      <c r="B365" s="3">
        <v>45290.0</v>
      </c>
      <c r="C365" s="4">
        <v>1166.0</v>
      </c>
      <c r="D365" s="8">
        <v>47837.0</v>
      </c>
    </row>
    <row r="366" ht="15.75" customHeight="1">
      <c r="B366" s="3">
        <v>45291.0</v>
      </c>
      <c r="C366" s="4">
        <v>2184.0</v>
      </c>
      <c r="D366" s="8">
        <v>88825.0</v>
      </c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  <row r="947" ht="15.75" customHeight="1">
      <c r="B947" s="3"/>
    </row>
    <row r="948" ht="15.75" customHeight="1">
      <c r="B948" s="3"/>
    </row>
    <row r="949" ht="15.75" customHeight="1">
      <c r="B949" s="3"/>
    </row>
    <row r="950" ht="15.75" customHeight="1">
      <c r="B950" s="3"/>
    </row>
    <row r="951" ht="15.75" customHeight="1">
      <c r="B951" s="3"/>
    </row>
    <row r="952" ht="15.75" customHeight="1">
      <c r="B952" s="3"/>
    </row>
    <row r="953" ht="15.75" customHeight="1">
      <c r="B953" s="3"/>
    </row>
    <row r="954" ht="15.75" customHeight="1">
      <c r="B954" s="3"/>
    </row>
    <row r="955" ht="15.75" customHeight="1">
      <c r="B955" s="3"/>
    </row>
    <row r="956" ht="15.75" customHeight="1">
      <c r="B956" s="3"/>
    </row>
    <row r="957" ht="15.75" customHeight="1">
      <c r="B957" s="3"/>
    </row>
    <row r="958" ht="15.75" customHeight="1">
      <c r="B958" s="3"/>
    </row>
    <row r="959" ht="15.75" customHeight="1">
      <c r="B959" s="3"/>
    </row>
    <row r="960" ht="15.75" customHeight="1">
      <c r="B960" s="3"/>
    </row>
    <row r="961" ht="15.75" customHeight="1">
      <c r="B961" s="3"/>
    </row>
    <row r="962" ht="15.75" customHeight="1">
      <c r="B962" s="3"/>
    </row>
    <row r="963" ht="15.75" customHeight="1">
      <c r="B963" s="3"/>
    </row>
    <row r="964" ht="15.75" customHeight="1">
      <c r="B964" s="3"/>
    </row>
    <row r="965" ht="15.75" customHeight="1">
      <c r="B965" s="3"/>
    </row>
    <row r="966" ht="15.75" customHeight="1">
      <c r="B966" s="3"/>
    </row>
    <row r="967" ht="15.75" customHeight="1">
      <c r="B967" s="3"/>
    </row>
    <row r="968" ht="15.75" customHeight="1">
      <c r="B968" s="3"/>
    </row>
    <row r="969" ht="15.75" customHeight="1">
      <c r="B969" s="3"/>
    </row>
    <row r="970" ht="15.75" customHeight="1">
      <c r="B970" s="3"/>
    </row>
    <row r="971" ht="15.75" customHeight="1">
      <c r="B971" s="3"/>
    </row>
    <row r="972" ht="15.75" customHeight="1">
      <c r="B972" s="3"/>
    </row>
    <row r="973" ht="15.75" customHeight="1">
      <c r="B973" s="3"/>
    </row>
    <row r="974" ht="15.75" customHeight="1">
      <c r="B974" s="3"/>
    </row>
    <row r="975" ht="15.75" customHeight="1">
      <c r="B975" s="3"/>
    </row>
    <row r="976" ht="15.75" customHeight="1">
      <c r="B976" s="3"/>
    </row>
    <row r="977" ht="15.75" customHeight="1">
      <c r="B977" s="3"/>
    </row>
    <row r="978" ht="15.75" customHeight="1">
      <c r="B978" s="3"/>
    </row>
    <row r="979" ht="15.75" customHeight="1">
      <c r="B979" s="3"/>
    </row>
    <row r="980" ht="15.75" customHeight="1">
      <c r="B980" s="3"/>
    </row>
    <row r="981" ht="15.75" customHeight="1">
      <c r="B981" s="3"/>
    </row>
    <row r="982" ht="15.75" customHeight="1">
      <c r="B982" s="3"/>
    </row>
    <row r="983" ht="15.75" customHeight="1">
      <c r="B983" s="3"/>
    </row>
    <row r="984" ht="15.75" customHeight="1">
      <c r="B984" s="3"/>
    </row>
    <row r="985" ht="15.75" customHeight="1">
      <c r="B985" s="3"/>
    </row>
    <row r="986" ht="15.75" customHeight="1">
      <c r="B986" s="3"/>
    </row>
    <row r="987" ht="15.75" customHeight="1">
      <c r="B987" s="3"/>
    </row>
    <row r="988" ht="15.75" customHeight="1">
      <c r="B988" s="3"/>
    </row>
    <row r="989" ht="15.75" customHeight="1">
      <c r="B989" s="3"/>
    </row>
    <row r="990" ht="15.75" customHeight="1">
      <c r="B990" s="3"/>
    </row>
    <row r="991" ht="15.75" customHeight="1">
      <c r="B991" s="3"/>
    </row>
    <row r="992" ht="15.75" customHeight="1">
      <c r="B992" s="3"/>
    </row>
    <row r="993" ht="15.75" customHeight="1">
      <c r="B993" s="3"/>
    </row>
    <row r="994" ht="15.75" customHeight="1">
      <c r="B994" s="3"/>
    </row>
    <row r="995" ht="15.75" customHeight="1">
      <c r="B995" s="3"/>
    </row>
    <row r="996" ht="15.75" customHeight="1">
      <c r="B996" s="3"/>
    </row>
    <row r="997" ht="15.75" customHeight="1">
      <c r="B997" s="3"/>
    </row>
    <row r="998" ht="15.75" customHeight="1">
      <c r="B998" s="3"/>
    </row>
    <row r="999" ht="15.75" customHeight="1">
      <c r="B999" s="3"/>
    </row>
    <row r="1000" ht="15.75" customHeight="1">
      <c r="B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67"/>
    <col customWidth="1" min="2" max="2" width="10.56"/>
    <col customWidth="1" min="3" max="3" width="5.78"/>
    <col customWidth="1" min="4" max="4" width="9.78"/>
    <col customWidth="1" min="5" max="26" width="10.56"/>
  </cols>
  <sheetData>
    <row r="1" ht="15.75" customHeight="1">
      <c r="A1" s="32" t="s">
        <v>84</v>
      </c>
      <c r="B1" s="33" t="s">
        <v>85</v>
      </c>
      <c r="C1" s="33" t="s">
        <v>79</v>
      </c>
      <c r="D1" s="33" t="s">
        <v>80</v>
      </c>
      <c r="E1" s="33" t="s">
        <v>86</v>
      </c>
      <c r="F1" s="33" t="s">
        <v>87</v>
      </c>
    </row>
    <row r="2" ht="15.75" customHeight="1">
      <c r="A2" s="34">
        <v>44927.0</v>
      </c>
      <c r="B2" s="8">
        <v>36947.0</v>
      </c>
      <c r="C2" s="4">
        <v>652.0</v>
      </c>
      <c r="D2" s="5">
        <v>520.8</v>
      </c>
      <c r="E2" s="4">
        <v>11.0</v>
      </c>
      <c r="F2" s="5">
        <v>1731.29</v>
      </c>
    </row>
    <row r="3" ht="15.75" customHeight="1">
      <c r="A3" s="34">
        <v>44928.0</v>
      </c>
      <c r="B3" s="8">
        <v>103648.0</v>
      </c>
      <c r="C3" s="4">
        <v>1973.0</v>
      </c>
      <c r="D3" s="5">
        <v>1777.8</v>
      </c>
      <c r="E3" s="4">
        <v>46.0</v>
      </c>
      <c r="F3" s="5">
        <v>6887.25</v>
      </c>
    </row>
    <row r="4" ht="15.75" customHeight="1">
      <c r="A4" s="34">
        <v>44929.0</v>
      </c>
      <c r="B4" s="8">
        <v>26894.0</v>
      </c>
      <c r="C4" s="4">
        <v>345.0</v>
      </c>
      <c r="D4" s="5">
        <v>253.23</v>
      </c>
      <c r="E4" s="4">
        <v>7.0</v>
      </c>
      <c r="F4" s="5">
        <v>875.24</v>
      </c>
    </row>
    <row r="5" ht="15.75" customHeight="1">
      <c r="A5" s="34">
        <v>44930.0</v>
      </c>
      <c r="B5" s="8">
        <v>52025.0</v>
      </c>
      <c r="C5" s="4">
        <v>877.0</v>
      </c>
      <c r="D5" s="5">
        <v>1024.92</v>
      </c>
      <c r="E5" s="4">
        <v>16.0</v>
      </c>
      <c r="F5" s="5">
        <v>3410.08</v>
      </c>
    </row>
    <row r="6" ht="15.75" customHeight="1">
      <c r="A6" s="34">
        <v>44931.0</v>
      </c>
      <c r="B6" s="8">
        <v>48395.0</v>
      </c>
      <c r="C6" s="4">
        <v>692.0</v>
      </c>
      <c r="D6" s="5">
        <v>646.93</v>
      </c>
      <c r="E6" s="4">
        <v>16.0</v>
      </c>
      <c r="F6" s="5">
        <v>3435.37</v>
      </c>
    </row>
    <row r="7" ht="15.75" customHeight="1">
      <c r="A7" s="34">
        <v>44932.0</v>
      </c>
      <c r="B7" s="8">
        <v>71027.0</v>
      </c>
      <c r="C7" s="4">
        <v>1356.0</v>
      </c>
      <c r="D7" s="5">
        <v>1609.69</v>
      </c>
      <c r="E7" s="4">
        <v>20.0</v>
      </c>
      <c r="F7" s="5">
        <v>3668.99</v>
      </c>
    </row>
    <row r="8" ht="15.75" customHeight="1">
      <c r="A8" s="34">
        <v>44933.0</v>
      </c>
      <c r="B8" s="8">
        <v>55996.0</v>
      </c>
      <c r="C8" s="4">
        <v>1557.0</v>
      </c>
      <c r="D8" s="5">
        <v>1020.16</v>
      </c>
      <c r="E8" s="4">
        <v>32.0</v>
      </c>
      <c r="F8" s="5">
        <v>6481.26</v>
      </c>
    </row>
    <row r="9" ht="15.75" customHeight="1">
      <c r="A9" s="34">
        <v>44934.0</v>
      </c>
      <c r="B9" s="8">
        <v>51353.0</v>
      </c>
      <c r="C9" s="4">
        <v>493.0</v>
      </c>
      <c r="D9" s="5">
        <v>534.71</v>
      </c>
      <c r="E9" s="4">
        <v>11.0</v>
      </c>
      <c r="F9" s="5">
        <v>1792.0</v>
      </c>
    </row>
    <row r="10" ht="15.75" customHeight="1">
      <c r="A10" s="34">
        <v>44935.0</v>
      </c>
      <c r="B10" s="8">
        <v>95648.0</v>
      </c>
      <c r="C10" s="4">
        <v>2155.0</v>
      </c>
      <c r="D10" s="5">
        <v>1899.43</v>
      </c>
      <c r="E10" s="4">
        <v>40.0</v>
      </c>
      <c r="F10" s="5">
        <v>7656.99</v>
      </c>
    </row>
    <row r="11" ht="15.75" customHeight="1">
      <c r="A11" s="34">
        <v>44936.0</v>
      </c>
      <c r="B11" s="8">
        <v>81702.0</v>
      </c>
      <c r="C11" s="4">
        <v>1640.0</v>
      </c>
      <c r="D11" s="5">
        <v>1881.17</v>
      </c>
      <c r="E11" s="4">
        <v>20.0</v>
      </c>
      <c r="F11" s="5">
        <v>3874.83</v>
      </c>
    </row>
    <row r="12" ht="15.75" customHeight="1">
      <c r="A12" s="34">
        <v>44937.0</v>
      </c>
      <c r="B12" s="8">
        <v>88605.0</v>
      </c>
      <c r="C12" s="4">
        <v>978.0</v>
      </c>
      <c r="D12" s="5">
        <v>1148.05</v>
      </c>
      <c r="E12" s="4">
        <v>21.0</v>
      </c>
      <c r="F12" s="5">
        <v>3945.11</v>
      </c>
    </row>
    <row r="13" ht="15.75" customHeight="1">
      <c r="A13" s="34">
        <v>44938.0</v>
      </c>
      <c r="B13" s="8">
        <v>82279.0</v>
      </c>
      <c r="C13" s="4">
        <v>1581.0</v>
      </c>
      <c r="D13" s="5">
        <v>1753.03</v>
      </c>
      <c r="E13" s="4">
        <v>20.0</v>
      </c>
      <c r="F13" s="5">
        <v>3888.03</v>
      </c>
    </row>
    <row r="14" ht="15.75" customHeight="1">
      <c r="A14" s="34">
        <v>44939.0</v>
      </c>
      <c r="B14" s="8">
        <v>105203.0</v>
      </c>
      <c r="C14" s="4">
        <v>2272.0</v>
      </c>
      <c r="D14" s="5">
        <v>1767.95</v>
      </c>
      <c r="E14" s="4">
        <v>33.0</v>
      </c>
      <c r="F14" s="5">
        <v>4497.42</v>
      </c>
    </row>
    <row r="15" ht="15.75" customHeight="1">
      <c r="A15" s="34">
        <v>44940.0</v>
      </c>
      <c r="B15" s="8">
        <v>81233.0</v>
      </c>
      <c r="C15" s="4">
        <v>1595.0</v>
      </c>
      <c r="D15" s="5">
        <v>1902.92</v>
      </c>
      <c r="E15" s="4">
        <v>32.0</v>
      </c>
      <c r="F15" s="5">
        <v>4424.08</v>
      </c>
    </row>
    <row r="16" ht="15.75" customHeight="1">
      <c r="A16" s="34">
        <v>44941.0</v>
      </c>
      <c r="B16" s="8">
        <v>80379.0</v>
      </c>
      <c r="C16" s="4">
        <v>2348.0</v>
      </c>
      <c r="D16" s="5">
        <v>2086.0</v>
      </c>
      <c r="E16" s="4">
        <v>31.0</v>
      </c>
      <c r="F16" s="5">
        <v>3312.67</v>
      </c>
    </row>
    <row r="17" ht="15.75" customHeight="1">
      <c r="A17" s="34">
        <v>44942.0</v>
      </c>
      <c r="B17" s="8">
        <v>32432.0</v>
      </c>
      <c r="C17" s="4">
        <v>728.0</v>
      </c>
      <c r="D17" s="5">
        <v>945.28</v>
      </c>
      <c r="E17" s="4">
        <v>13.0</v>
      </c>
      <c r="F17" s="5">
        <v>1830.03</v>
      </c>
    </row>
    <row r="18" ht="15.75" customHeight="1">
      <c r="A18" s="34">
        <v>44943.0</v>
      </c>
      <c r="B18" s="8">
        <v>110276.0</v>
      </c>
      <c r="C18" s="4">
        <v>2793.0</v>
      </c>
      <c r="D18" s="5">
        <v>3150.04</v>
      </c>
      <c r="E18" s="4">
        <v>66.0</v>
      </c>
      <c r="F18" s="5">
        <v>10728.13</v>
      </c>
    </row>
    <row r="19" ht="15.75" customHeight="1">
      <c r="A19" s="34">
        <v>44944.0</v>
      </c>
      <c r="B19" s="8">
        <v>72421.0</v>
      </c>
      <c r="C19" s="4">
        <v>2023.0</v>
      </c>
      <c r="D19" s="5">
        <v>1574.43</v>
      </c>
      <c r="E19" s="4">
        <v>27.0</v>
      </c>
      <c r="F19" s="5">
        <v>4168.12</v>
      </c>
    </row>
    <row r="20" ht="15.75" customHeight="1">
      <c r="A20" s="34">
        <v>44945.0</v>
      </c>
      <c r="B20" s="8">
        <v>76446.0</v>
      </c>
      <c r="C20" s="4">
        <v>966.0</v>
      </c>
      <c r="D20" s="5">
        <v>1034.2</v>
      </c>
      <c r="E20" s="4">
        <v>22.0</v>
      </c>
      <c r="F20" s="5">
        <v>3089.84</v>
      </c>
    </row>
    <row r="21" ht="15.75" customHeight="1">
      <c r="A21" s="34">
        <v>44946.0</v>
      </c>
      <c r="B21" s="8">
        <v>84014.0</v>
      </c>
      <c r="C21" s="4">
        <v>1285.0</v>
      </c>
      <c r="D21" s="5">
        <v>1033.11</v>
      </c>
      <c r="E21" s="4">
        <v>20.0</v>
      </c>
      <c r="F21" s="5">
        <v>4047.78</v>
      </c>
    </row>
    <row r="22" ht="15.75" customHeight="1">
      <c r="A22" s="34">
        <v>44947.0</v>
      </c>
      <c r="B22" s="8">
        <v>81355.0</v>
      </c>
      <c r="C22" s="4">
        <v>1891.0</v>
      </c>
      <c r="D22" s="5">
        <v>1973.74</v>
      </c>
      <c r="E22" s="4">
        <v>33.0</v>
      </c>
      <c r="F22" s="5">
        <v>5302.51</v>
      </c>
    </row>
    <row r="23" ht="15.75" customHeight="1">
      <c r="A23" s="34">
        <v>44948.0</v>
      </c>
      <c r="B23" s="8">
        <v>51943.0</v>
      </c>
      <c r="C23" s="4">
        <v>635.0</v>
      </c>
      <c r="D23" s="5">
        <v>577.03</v>
      </c>
      <c r="E23" s="4">
        <v>12.0</v>
      </c>
      <c r="F23" s="5">
        <v>1506.25</v>
      </c>
    </row>
    <row r="24" ht="15.75" customHeight="1">
      <c r="A24" s="34">
        <v>44949.0</v>
      </c>
      <c r="B24" s="8">
        <v>23626.0</v>
      </c>
      <c r="C24" s="4">
        <v>198.0</v>
      </c>
      <c r="D24" s="5">
        <v>130.64</v>
      </c>
      <c r="E24" s="4">
        <v>3.0</v>
      </c>
      <c r="F24" s="5">
        <v>647.79</v>
      </c>
    </row>
    <row r="25" ht="15.75" customHeight="1">
      <c r="A25" s="34">
        <v>44950.0</v>
      </c>
      <c r="B25" s="8">
        <v>78232.0</v>
      </c>
      <c r="C25" s="4">
        <v>1423.0</v>
      </c>
      <c r="D25" s="5">
        <v>1403.2</v>
      </c>
      <c r="E25" s="4">
        <v>30.0</v>
      </c>
      <c r="F25" s="5">
        <v>5798.8</v>
      </c>
    </row>
    <row r="26" ht="15.75" customHeight="1">
      <c r="A26" s="34">
        <v>44951.0</v>
      </c>
      <c r="B26" s="8">
        <v>58352.0</v>
      </c>
      <c r="C26" s="4">
        <v>1543.0</v>
      </c>
      <c r="D26" s="5">
        <v>1942.15</v>
      </c>
      <c r="E26" s="4">
        <v>35.0</v>
      </c>
      <c r="F26" s="5">
        <v>6289.39</v>
      </c>
    </row>
    <row r="27" ht="15.75" customHeight="1">
      <c r="A27" s="34">
        <v>44952.0</v>
      </c>
      <c r="B27" s="8">
        <v>39225.0</v>
      </c>
      <c r="C27" s="4">
        <v>402.0</v>
      </c>
      <c r="D27" s="5">
        <v>478.39</v>
      </c>
      <c r="E27" s="4">
        <v>7.0</v>
      </c>
      <c r="F27" s="5">
        <v>1207.03</v>
      </c>
    </row>
    <row r="28" ht="15.75" customHeight="1">
      <c r="A28" s="34">
        <v>44953.0</v>
      </c>
      <c r="B28" s="8">
        <v>36682.0</v>
      </c>
      <c r="C28" s="4">
        <v>492.0</v>
      </c>
      <c r="D28" s="5">
        <v>614.04</v>
      </c>
      <c r="E28" s="4">
        <v>8.0</v>
      </c>
      <c r="F28" s="5">
        <v>1625.84</v>
      </c>
    </row>
    <row r="29" ht="15.75" customHeight="1">
      <c r="A29" s="34">
        <v>44954.0</v>
      </c>
      <c r="B29" s="8">
        <v>83677.0</v>
      </c>
      <c r="C29" s="4">
        <v>917.0</v>
      </c>
      <c r="D29" s="5">
        <v>1005.87</v>
      </c>
      <c r="E29" s="4">
        <v>22.0</v>
      </c>
      <c r="F29" s="5">
        <v>3931.6</v>
      </c>
    </row>
    <row r="30" ht="15.75" customHeight="1">
      <c r="A30" s="34">
        <v>44955.0</v>
      </c>
      <c r="B30" s="8">
        <v>38924.0</v>
      </c>
      <c r="C30" s="4">
        <v>917.0</v>
      </c>
      <c r="D30" s="5">
        <v>714.05</v>
      </c>
      <c r="E30" s="4">
        <v>16.0</v>
      </c>
      <c r="F30" s="5">
        <v>3382.85</v>
      </c>
    </row>
    <row r="31" ht="15.75" customHeight="1">
      <c r="A31" s="34">
        <v>44956.0</v>
      </c>
      <c r="B31" s="8">
        <v>63140.0</v>
      </c>
      <c r="C31" s="4">
        <v>1867.0</v>
      </c>
      <c r="D31" s="5">
        <v>1888.8</v>
      </c>
      <c r="E31" s="4">
        <v>31.0</v>
      </c>
      <c r="F31" s="5">
        <v>4153.61</v>
      </c>
    </row>
    <row r="32" ht="15.75" customHeight="1">
      <c r="A32" s="34">
        <v>44957.0</v>
      </c>
      <c r="B32" s="8">
        <v>90690.0</v>
      </c>
      <c r="C32" s="4">
        <v>1995.0</v>
      </c>
      <c r="D32" s="5">
        <v>2016.83</v>
      </c>
      <c r="E32" s="4">
        <v>37.0</v>
      </c>
      <c r="F32" s="5">
        <v>6115.46</v>
      </c>
    </row>
    <row r="33" ht="15.75" customHeight="1">
      <c r="A33" s="34">
        <v>44958.0</v>
      </c>
      <c r="B33" s="8">
        <v>108628.0</v>
      </c>
      <c r="C33" s="4">
        <v>3318.0</v>
      </c>
      <c r="D33" s="5">
        <v>2451.91</v>
      </c>
      <c r="E33" s="4">
        <v>68.0</v>
      </c>
      <c r="F33" s="5">
        <v>9479.47</v>
      </c>
    </row>
    <row r="34" ht="15.75" customHeight="1">
      <c r="A34" s="34">
        <v>44959.0</v>
      </c>
      <c r="B34" s="8">
        <v>43604.0</v>
      </c>
      <c r="C34" s="4">
        <v>520.0</v>
      </c>
      <c r="D34" s="5">
        <v>614.4</v>
      </c>
      <c r="E34" s="4">
        <v>10.0</v>
      </c>
      <c r="F34" s="5">
        <v>1937.21</v>
      </c>
    </row>
    <row r="35" ht="15.75" customHeight="1">
      <c r="A35" s="34">
        <v>44960.0</v>
      </c>
      <c r="B35" s="8">
        <v>35750.0</v>
      </c>
      <c r="C35" s="4">
        <v>786.0</v>
      </c>
      <c r="D35" s="5">
        <v>601.25</v>
      </c>
      <c r="E35" s="4">
        <v>18.0</v>
      </c>
      <c r="F35" s="5">
        <v>2913.34</v>
      </c>
    </row>
    <row r="36" ht="15.75" customHeight="1">
      <c r="A36" s="34">
        <v>44961.0</v>
      </c>
      <c r="B36" s="8">
        <v>25446.0</v>
      </c>
      <c r="C36" s="4">
        <v>511.0</v>
      </c>
      <c r="D36" s="5">
        <v>364.66</v>
      </c>
      <c r="E36" s="4">
        <v>8.0</v>
      </c>
      <c r="F36" s="5">
        <v>1239.1</v>
      </c>
    </row>
    <row r="37" ht="15.75" customHeight="1">
      <c r="A37" s="34">
        <v>44962.0</v>
      </c>
      <c r="B37" s="8">
        <v>86071.0</v>
      </c>
      <c r="C37" s="4">
        <v>2580.0</v>
      </c>
      <c r="D37" s="5">
        <v>2977.28</v>
      </c>
      <c r="E37" s="4">
        <v>41.0</v>
      </c>
      <c r="F37" s="5">
        <v>8339.4</v>
      </c>
    </row>
    <row r="38" ht="15.75" customHeight="1">
      <c r="A38" s="34">
        <v>44963.0</v>
      </c>
      <c r="B38" s="8">
        <v>101081.0</v>
      </c>
      <c r="C38" s="4">
        <v>1253.0</v>
      </c>
      <c r="D38" s="5">
        <v>1130.24</v>
      </c>
      <c r="E38" s="4">
        <v>25.0</v>
      </c>
      <c r="F38" s="5">
        <v>2965.66</v>
      </c>
    </row>
    <row r="39" ht="15.75" customHeight="1">
      <c r="A39" s="34">
        <v>44964.0</v>
      </c>
      <c r="B39" s="8">
        <v>97308.0</v>
      </c>
      <c r="C39" s="4">
        <v>2761.0</v>
      </c>
      <c r="D39" s="5">
        <v>2864.08</v>
      </c>
      <c r="E39" s="4">
        <v>48.0</v>
      </c>
      <c r="F39" s="5">
        <v>7812.7</v>
      </c>
    </row>
    <row r="40" ht="15.75" customHeight="1">
      <c r="A40" s="34">
        <v>44965.0</v>
      </c>
      <c r="B40" s="8">
        <v>92074.0</v>
      </c>
      <c r="C40" s="4">
        <v>1113.0</v>
      </c>
      <c r="D40" s="5">
        <v>779.84</v>
      </c>
      <c r="E40" s="4">
        <v>20.0</v>
      </c>
      <c r="F40" s="5">
        <v>3811.93</v>
      </c>
    </row>
    <row r="41" ht="15.75" customHeight="1">
      <c r="A41" s="34">
        <v>44966.0</v>
      </c>
      <c r="B41" s="8">
        <v>68442.0</v>
      </c>
      <c r="C41" s="4">
        <v>1933.0</v>
      </c>
      <c r="D41" s="5">
        <v>2443.95</v>
      </c>
      <c r="E41" s="4">
        <v>27.0</v>
      </c>
      <c r="F41" s="5">
        <v>3286.46</v>
      </c>
    </row>
    <row r="42" ht="15.75" customHeight="1">
      <c r="A42" s="34">
        <v>44967.0</v>
      </c>
      <c r="B42" s="8">
        <v>51708.0</v>
      </c>
      <c r="C42" s="4">
        <v>1401.0</v>
      </c>
      <c r="D42" s="5">
        <v>1007.97</v>
      </c>
      <c r="E42" s="4">
        <v>35.0</v>
      </c>
      <c r="F42" s="5">
        <v>6901.72</v>
      </c>
    </row>
    <row r="43" ht="15.75" customHeight="1">
      <c r="A43" s="34">
        <v>44968.0</v>
      </c>
      <c r="B43" s="8">
        <v>89130.0</v>
      </c>
      <c r="C43" s="4">
        <v>2243.0</v>
      </c>
      <c r="D43" s="5">
        <v>1687.07</v>
      </c>
      <c r="E43" s="4">
        <v>35.0</v>
      </c>
      <c r="F43" s="5">
        <v>6967.52</v>
      </c>
    </row>
    <row r="44" ht="15.75" customHeight="1">
      <c r="A44" s="34">
        <v>44969.0</v>
      </c>
      <c r="B44" s="8">
        <v>96610.0</v>
      </c>
      <c r="C44" s="4">
        <v>2201.0</v>
      </c>
      <c r="D44" s="5">
        <v>1426.82</v>
      </c>
      <c r="E44" s="4">
        <v>35.0</v>
      </c>
      <c r="F44" s="5">
        <v>5922.01</v>
      </c>
    </row>
    <row r="45" ht="15.75" customHeight="1">
      <c r="A45" s="34">
        <v>44970.0</v>
      </c>
      <c r="B45" s="8">
        <v>36652.0</v>
      </c>
      <c r="C45" s="4">
        <v>636.0</v>
      </c>
      <c r="D45" s="5">
        <v>619.37</v>
      </c>
      <c r="E45" s="4">
        <v>15.0</v>
      </c>
      <c r="F45" s="5">
        <v>2436.21</v>
      </c>
    </row>
    <row r="46" ht="15.75" customHeight="1">
      <c r="A46" s="34">
        <v>44971.0</v>
      </c>
      <c r="B46" s="8">
        <v>102773.0</v>
      </c>
      <c r="C46" s="4">
        <v>2253.0</v>
      </c>
      <c r="D46" s="5">
        <v>1986.69</v>
      </c>
      <c r="E46" s="4">
        <v>46.0</v>
      </c>
      <c r="F46" s="5">
        <v>8721.55</v>
      </c>
    </row>
    <row r="47" ht="15.75" customHeight="1">
      <c r="A47" s="34">
        <v>44972.0</v>
      </c>
      <c r="B47" s="8">
        <v>80738.0</v>
      </c>
      <c r="C47" s="4">
        <v>2438.0</v>
      </c>
      <c r="D47" s="5">
        <v>2766.15</v>
      </c>
      <c r="E47" s="4">
        <v>31.0</v>
      </c>
      <c r="F47" s="5">
        <v>5771.36</v>
      </c>
    </row>
    <row r="48" ht="15.75" customHeight="1">
      <c r="A48" s="34">
        <v>44973.0</v>
      </c>
      <c r="B48" s="8">
        <v>24310.0</v>
      </c>
      <c r="C48" s="4">
        <v>230.0</v>
      </c>
      <c r="D48" s="5">
        <v>284.07</v>
      </c>
      <c r="E48" s="4">
        <v>5.0</v>
      </c>
      <c r="F48" s="5">
        <v>884.73</v>
      </c>
    </row>
    <row r="49" ht="15.75" customHeight="1">
      <c r="A49" s="34">
        <v>44974.0</v>
      </c>
      <c r="B49" s="8">
        <v>22925.0</v>
      </c>
      <c r="C49" s="4">
        <v>230.0</v>
      </c>
      <c r="D49" s="5">
        <v>287.45</v>
      </c>
      <c r="E49" s="4">
        <v>3.0</v>
      </c>
      <c r="F49" s="5">
        <v>911.63</v>
      </c>
    </row>
    <row r="50" ht="15.75" customHeight="1">
      <c r="A50" s="34">
        <v>44975.0</v>
      </c>
      <c r="B50" s="8">
        <v>62609.0</v>
      </c>
      <c r="C50" s="4">
        <v>876.0</v>
      </c>
      <c r="D50" s="5">
        <v>1131.54</v>
      </c>
      <c r="E50" s="4">
        <v>11.0</v>
      </c>
      <c r="F50" s="5">
        <v>2248.13</v>
      </c>
    </row>
    <row r="51" ht="15.75" customHeight="1">
      <c r="A51" s="34">
        <v>44976.0</v>
      </c>
      <c r="B51" s="8">
        <v>38734.0</v>
      </c>
      <c r="C51" s="4">
        <v>753.0</v>
      </c>
      <c r="D51" s="5">
        <v>958.86</v>
      </c>
      <c r="E51" s="4">
        <v>13.0</v>
      </c>
      <c r="F51" s="5">
        <v>1695.5</v>
      </c>
    </row>
    <row r="52" ht="15.75" customHeight="1">
      <c r="A52" s="34">
        <v>44977.0</v>
      </c>
      <c r="B52" s="8">
        <v>91772.0</v>
      </c>
      <c r="C52" s="4">
        <v>1528.0</v>
      </c>
      <c r="D52" s="5">
        <v>1723.73</v>
      </c>
      <c r="E52" s="4">
        <v>35.0</v>
      </c>
      <c r="F52" s="5">
        <v>5544.89</v>
      </c>
    </row>
    <row r="53" ht="15.75" customHeight="1">
      <c r="A53" s="34">
        <v>44978.0</v>
      </c>
      <c r="B53" s="8">
        <v>99289.0</v>
      </c>
      <c r="C53" s="4">
        <v>1218.0</v>
      </c>
      <c r="D53" s="5">
        <v>1280.56</v>
      </c>
      <c r="E53" s="4">
        <v>17.0</v>
      </c>
      <c r="F53" s="5">
        <v>1905.67</v>
      </c>
    </row>
    <row r="54" ht="15.75" customHeight="1">
      <c r="A54" s="34">
        <v>44979.0</v>
      </c>
      <c r="B54" s="8">
        <v>78754.0</v>
      </c>
      <c r="C54" s="4">
        <v>1145.0</v>
      </c>
      <c r="D54" s="5">
        <v>1269.65</v>
      </c>
      <c r="E54" s="4">
        <v>18.0</v>
      </c>
      <c r="F54" s="5">
        <v>2779.17</v>
      </c>
    </row>
    <row r="55" ht="15.75" customHeight="1">
      <c r="A55" s="34">
        <v>44980.0</v>
      </c>
      <c r="B55" s="8">
        <v>97494.0</v>
      </c>
      <c r="C55" s="4">
        <v>1182.0</v>
      </c>
      <c r="D55" s="5">
        <v>1219.37</v>
      </c>
      <c r="E55" s="4">
        <v>28.0</v>
      </c>
      <c r="F55" s="5">
        <v>5510.68</v>
      </c>
    </row>
    <row r="56" ht="15.75" customHeight="1">
      <c r="A56" s="34">
        <v>44981.0</v>
      </c>
      <c r="B56" s="8">
        <v>29724.0</v>
      </c>
      <c r="C56" s="4">
        <v>602.0</v>
      </c>
      <c r="D56" s="5">
        <v>508.43</v>
      </c>
      <c r="E56" s="4">
        <v>7.0</v>
      </c>
      <c r="F56" s="5">
        <v>864.23</v>
      </c>
    </row>
    <row r="57" ht="15.75" customHeight="1">
      <c r="A57" s="34">
        <v>44982.0</v>
      </c>
      <c r="B57" s="8">
        <v>69272.0</v>
      </c>
      <c r="C57" s="4">
        <v>1126.0</v>
      </c>
      <c r="D57" s="5">
        <v>832.28</v>
      </c>
      <c r="E57" s="4">
        <v>20.0</v>
      </c>
      <c r="F57" s="5">
        <v>2393.01</v>
      </c>
    </row>
    <row r="58" ht="15.75" customHeight="1">
      <c r="A58" s="34">
        <v>44983.0</v>
      </c>
      <c r="B58" s="8">
        <v>91718.0</v>
      </c>
      <c r="C58" s="4">
        <v>2693.0</v>
      </c>
      <c r="D58" s="5">
        <v>2391.73</v>
      </c>
      <c r="E58" s="4">
        <v>43.0</v>
      </c>
      <c r="F58" s="5">
        <v>7113.55</v>
      </c>
    </row>
    <row r="59" ht="15.75" customHeight="1">
      <c r="A59" s="34">
        <v>44984.0</v>
      </c>
      <c r="B59" s="8">
        <v>55521.0</v>
      </c>
      <c r="C59" s="4">
        <v>1612.0</v>
      </c>
      <c r="D59" s="5">
        <v>1819.44</v>
      </c>
      <c r="E59" s="4">
        <v>20.0</v>
      </c>
      <c r="F59" s="5">
        <v>4027.71</v>
      </c>
    </row>
    <row r="60" ht="15.75" customHeight="1">
      <c r="A60" s="34">
        <v>44985.0</v>
      </c>
      <c r="B60" s="8">
        <v>25407.0</v>
      </c>
      <c r="C60" s="4">
        <v>211.0</v>
      </c>
      <c r="D60" s="5">
        <v>223.71</v>
      </c>
      <c r="E60" s="4">
        <v>2.0</v>
      </c>
      <c r="F60" s="5">
        <v>476.35</v>
      </c>
    </row>
    <row r="61" ht="15.75" customHeight="1">
      <c r="A61" s="34">
        <v>44986.0</v>
      </c>
      <c r="B61" s="8">
        <v>79403.0</v>
      </c>
      <c r="C61" s="4">
        <v>1642.0</v>
      </c>
      <c r="D61" s="5">
        <v>1384.25</v>
      </c>
      <c r="E61" s="4">
        <v>36.0</v>
      </c>
      <c r="F61" s="5">
        <v>5507.44</v>
      </c>
    </row>
    <row r="62" ht="15.75" customHeight="1">
      <c r="A62" s="34">
        <v>44987.0</v>
      </c>
      <c r="B62" s="8">
        <v>56768.0</v>
      </c>
      <c r="C62" s="4">
        <v>1623.0</v>
      </c>
      <c r="D62" s="5">
        <v>1673.6</v>
      </c>
      <c r="E62" s="4">
        <v>28.0</v>
      </c>
      <c r="F62" s="5">
        <v>4619.65</v>
      </c>
    </row>
    <row r="63" ht="15.75" customHeight="1">
      <c r="A63" s="34">
        <v>44988.0</v>
      </c>
      <c r="B63" s="8">
        <v>32699.0</v>
      </c>
      <c r="C63" s="4">
        <v>710.0</v>
      </c>
      <c r="D63" s="5">
        <v>561.87</v>
      </c>
      <c r="E63" s="4">
        <v>16.0</v>
      </c>
      <c r="F63" s="5">
        <v>3059.69</v>
      </c>
    </row>
    <row r="64" ht="15.75" customHeight="1">
      <c r="A64" s="34">
        <v>44989.0</v>
      </c>
      <c r="B64" s="8">
        <v>43985.0</v>
      </c>
      <c r="C64" s="4">
        <v>640.0</v>
      </c>
      <c r="D64" s="5">
        <v>660.66</v>
      </c>
      <c r="E64" s="4">
        <v>12.0</v>
      </c>
      <c r="F64" s="5">
        <v>2558.48</v>
      </c>
    </row>
    <row r="65" ht="15.75" customHeight="1">
      <c r="A65" s="34">
        <v>44990.0</v>
      </c>
      <c r="B65" s="8">
        <v>65616.0</v>
      </c>
      <c r="C65" s="4">
        <v>1632.0</v>
      </c>
      <c r="D65" s="5">
        <v>1862.02</v>
      </c>
      <c r="E65" s="4">
        <v>37.0</v>
      </c>
      <c r="F65" s="5">
        <v>4146.49</v>
      </c>
    </row>
    <row r="66" ht="15.75" customHeight="1">
      <c r="A66" s="34">
        <v>44991.0</v>
      </c>
      <c r="B66" s="8">
        <v>71269.0</v>
      </c>
      <c r="C66" s="4">
        <v>1663.0</v>
      </c>
      <c r="D66" s="5">
        <v>1315.4</v>
      </c>
      <c r="E66" s="4">
        <v>25.0</v>
      </c>
      <c r="F66" s="5">
        <v>5032.92</v>
      </c>
    </row>
    <row r="67" ht="15.75" customHeight="1">
      <c r="A67" s="34">
        <v>44992.0</v>
      </c>
      <c r="B67" s="8">
        <v>36195.0</v>
      </c>
      <c r="C67" s="4">
        <v>740.0</v>
      </c>
      <c r="D67" s="5">
        <v>494.5</v>
      </c>
      <c r="E67" s="4">
        <v>12.0</v>
      </c>
      <c r="F67" s="5">
        <v>1413.62</v>
      </c>
    </row>
    <row r="68" ht="15.75" customHeight="1">
      <c r="A68" s="34">
        <v>44993.0</v>
      </c>
      <c r="B68" s="8">
        <v>91235.0</v>
      </c>
      <c r="C68" s="4">
        <v>2481.0</v>
      </c>
      <c r="D68" s="5">
        <v>1704.55</v>
      </c>
      <c r="E68" s="4">
        <v>58.0</v>
      </c>
      <c r="F68" s="5">
        <v>6083.36</v>
      </c>
    </row>
    <row r="69" ht="15.75" customHeight="1">
      <c r="A69" s="34">
        <v>44994.0</v>
      </c>
      <c r="B69" s="8">
        <v>83414.0</v>
      </c>
      <c r="C69" s="4">
        <v>2616.0</v>
      </c>
      <c r="D69" s="5">
        <v>2271.81</v>
      </c>
      <c r="E69" s="4">
        <v>58.0</v>
      </c>
      <c r="F69" s="5">
        <v>8671.03</v>
      </c>
    </row>
    <row r="70" ht="15.75" customHeight="1">
      <c r="A70" s="34">
        <v>44995.0</v>
      </c>
      <c r="B70" s="8">
        <v>92668.0</v>
      </c>
      <c r="C70" s="4">
        <v>2436.0</v>
      </c>
      <c r="D70" s="5">
        <v>2416.34</v>
      </c>
      <c r="E70" s="4">
        <v>48.0</v>
      </c>
      <c r="F70" s="5">
        <v>9251.86</v>
      </c>
    </row>
    <row r="71" ht="15.75" customHeight="1">
      <c r="A71" s="34">
        <v>44996.0</v>
      </c>
      <c r="B71" s="8">
        <v>42853.0</v>
      </c>
      <c r="C71" s="4">
        <v>1021.0</v>
      </c>
      <c r="D71" s="5">
        <v>781.43</v>
      </c>
      <c r="E71" s="4">
        <v>12.0</v>
      </c>
      <c r="F71" s="5">
        <v>2369.13</v>
      </c>
    </row>
    <row r="72" ht="15.75" customHeight="1">
      <c r="A72" s="34">
        <v>44997.0</v>
      </c>
      <c r="B72" s="8">
        <v>103050.0</v>
      </c>
      <c r="C72" s="4">
        <v>1922.0</v>
      </c>
      <c r="D72" s="5">
        <v>1694.68</v>
      </c>
      <c r="E72" s="4">
        <v>33.0</v>
      </c>
      <c r="F72" s="5">
        <v>6193.55</v>
      </c>
    </row>
    <row r="73" ht="15.75" customHeight="1">
      <c r="A73" s="34">
        <v>44998.0</v>
      </c>
      <c r="B73" s="8">
        <v>35913.0</v>
      </c>
      <c r="C73" s="4">
        <v>633.0</v>
      </c>
      <c r="D73" s="5">
        <v>563.23</v>
      </c>
      <c r="E73" s="4">
        <v>12.0</v>
      </c>
      <c r="F73" s="5">
        <v>1606.81</v>
      </c>
    </row>
    <row r="74" ht="15.75" customHeight="1">
      <c r="A74" s="34">
        <v>44999.0</v>
      </c>
      <c r="B74" s="8">
        <v>70154.0</v>
      </c>
      <c r="C74" s="4">
        <v>777.0</v>
      </c>
      <c r="D74" s="5">
        <v>948.44</v>
      </c>
      <c r="E74" s="4">
        <v>10.0</v>
      </c>
      <c r="F74" s="5">
        <v>1244.41</v>
      </c>
    </row>
    <row r="75" ht="15.75" customHeight="1">
      <c r="A75" s="34">
        <v>45000.0</v>
      </c>
      <c r="B75" s="8">
        <v>35315.0</v>
      </c>
      <c r="C75" s="4">
        <v>386.0</v>
      </c>
      <c r="D75" s="5">
        <v>258.25</v>
      </c>
      <c r="E75" s="4">
        <v>6.0</v>
      </c>
      <c r="F75" s="5">
        <v>1199.33</v>
      </c>
    </row>
    <row r="76" ht="15.75" customHeight="1">
      <c r="A76" s="34">
        <v>45001.0</v>
      </c>
      <c r="B76" s="8">
        <v>36847.0</v>
      </c>
      <c r="C76" s="4">
        <v>636.0</v>
      </c>
      <c r="D76" s="5">
        <v>697.16</v>
      </c>
      <c r="E76" s="4">
        <v>11.0</v>
      </c>
      <c r="F76" s="5">
        <v>1288.88</v>
      </c>
    </row>
    <row r="77" ht="15.75" customHeight="1">
      <c r="A77" s="34">
        <v>45002.0</v>
      </c>
      <c r="B77" s="8">
        <v>62417.0</v>
      </c>
      <c r="C77" s="4">
        <v>1836.0</v>
      </c>
      <c r="D77" s="5">
        <v>2083.09</v>
      </c>
      <c r="E77" s="4">
        <v>45.0</v>
      </c>
      <c r="F77" s="5">
        <v>8686.01</v>
      </c>
    </row>
    <row r="78" ht="15.75" customHeight="1">
      <c r="A78" s="34">
        <v>45003.0</v>
      </c>
      <c r="B78" s="8">
        <v>49279.0</v>
      </c>
      <c r="C78" s="4">
        <v>833.0</v>
      </c>
      <c r="D78" s="5">
        <v>843.38</v>
      </c>
      <c r="E78" s="4">
        <v>12.0</v>
      </c>
      <c r="F78" s="5">
        <v>1334.89</v>
      </c>
    </row>
    <row r="79" ht="15.75" customHeight="1">
      <c r="A79" s="34">
        <v>45004.0</v>
      </c>
      <c r="B79" s="8">
        <v>39783.0</v>
      </c>
      <c r="C79" s="4">
        <v>722.0</v>
      </c>
      <c r="D79" s="5">
        <v>678.88</v>
      </c>
      <c r="E79" s="4">
        <v>16.0</v>
      </c>
      <c r="F79" s="5">
        <v>3087.69</v>
      </c>
    </row>
    <row r="80" ht="15.75" customHeight="1">
      <c r="A80" s="34">
        <v>45005.0</v>
      </c>
      <c r="B80" s="8">
        <v>97987.0</v>
      </c>
      <c r="C80" s="4">
        <v>1150.0</v>
      </c>
      <c r="D80" s="5">
        <v>1312.46</v>
      </c>
      <c r="E80" s="4">
        <v>27.0</v>
      </c>
      <c r="F80" s="5">
        <v>5089.52</v>
      </c>
    </row>
    <row r="81" ht="15.75" customHeight="1">
      <c r="A81" s="34">
        <v>45006.0</v>
      </c>
      <c r="B81" s="8">
        <v>44135.0</v>
      </c>
      <c r="C81" s="4">
        <v>946.0</v>
      </c>
      <c r="D81" s="5">
        <v>1159.33</v>
      </c>
      <c r="E81" s="4">
        <v>17.0</v>
      </c>
      <c r="F81" s="5">
        <v>1916.51</v>
      </c>
    </row>
    <row r="82" ht="15.75" customHeight="1">
      <c r="A82" s="34">
        <v>45007.0</v>
      </c>
      <c r="B82" s="8">
        <v>45519.0</v>
      </c>
      <c r="C82" s="4">
        <v>1253.0</v>
      </c>
      <c r="D82" s="5">
        <v>975.47</v>
      </c>
      <c r="E82" s="4">
        <v>18.0</v>
      </c>
      <c r="F82" s="5">
        <v>2752.57</v>
      </c>
    </row>
    <row r="83" ht="15.75" customHeight="1">
      <c r="A83" s="34">
        <v>45008.0</v>
      </c>
      <c r="B83" s="8">
        <v>111562.0</v>
      </c>
      <c r="C83" s="4">
        <v>2140.0</v>
      </c>
      <c r="D83" s="5">
        <v>1720.05</v>
      </c>
      <c r="E83" s="4">
        <v>36.0</v>
      </c>
      <c r="F83" s="5">
        <v>5051.5</v>
      </c>
    </row>
    <row r="84" ht="15.75" customHeight="1">
      <c r="A84" s="34">
        <v>45009.0</v>
      </c>
      <c r="B84" s="8">
        <v>20639.0</v>
      </c>
      <c r="C84" s="4">
        <v>155.0</v>
      </c>
      <c r="D84" s="5">
        <v>162.28</v>
      </c>
      <c r="E84" s="4">
        <v>1.0</v>
      </c>
      <c r="F84" s="5">
        <v>254.01</v>
      </c>
    </row>
    <row r="85" ht="15.75" customHeight="1">
      <c r="A85" s="34">
        <v>45010.0</v>
      </c>
      <c r="B85" s="8">
        <v>82999.0</v>
      </c>
      <c r="C85" s="4">
        <v>2301.0</v>
      </c>
      <c r="D85" s="5">
        <v>2729.41</v>
      </c>
      <c r="E85" s="4">
        <v>38.0</v>
      </c>
      <c r="F85" s="5">
        <v>4762.38</v>
      </c>
    </row>
    <row r="86" ht="15.75" customHeight="1">
      <c r="A86" s="34">
        <v>45011.0</v>
      </c>
      <c r="B86" s="8">
        <v>35803.0</v>
      </c>
      <c r="C86" s="4">
        <v>736.0</v>
      </c>
      <c r="D86" s="5">
        <v>496.21</v>
      </c>
      <c r="E86" s="4">
        <v>16.0</v>
      </c>
      <c r="F86" s="5">
        <v>1778.2</v>
      </c>
    </row>
    <row r="87" ht="15.75" customHeight="1">
      <c r="A87" s="34">
        <v>45012.0</v>
      </c>
      <c r="B87" s="8">
        <v>91991.0</v>
      </c>
      <c r="C87" s="4">
        <v>1357.0</v>
      </c>
      <c r="D87" s="5">
        <v>1099.92</v>
      </c>
      <c r="E87" s="4">
        <v>26.0</v>
      </c>
      <c r="F87" s="5">
        <v>3343.88</v>
      </c>
    </row>
    <row r="88" ht="15.75" customHeight="1">
      <c r="A88" s="34">
        <v>45013.0</v>
      </c>
      <c r="B88" s="8">
        <v>25281.0</v>
      </c>
      <c r="C88" s="4">
        <v>390.0</v>
      </c>
      <c r="D88" s="5">
        <v>344.42</v>
      </c>
      <c r="E88" s="4">
        <v>6.0</v>
      </c>
      <c r="F88" s="5">
        <v>1249.07</v>
      </c>
    </row>
    <row r="89" ht="15.75" customHeight="1">
      <c r="A89" s="34">
        <v>45014.0</v>
      </c>
      <c r="B89" s="8">
        <v>86198.0</v>
      </c>
      <c r="C89" s="4">
        <v>2766.0</v>
      </c>
      <c r="D89" s="5">
        <v>3227.78</v>
      </c>
      <c r="E89" s="4">
        <v>41.0</v>
      </c>
      <c r="F89" s="5">
        <v>7028.39</v>
      </c>
    </row>
    <row r="90" ht="15.75" customHeight="1">
      <c r="A90" s="34">
        <v>45015.0</v>
      </c>
      <c r="B90" s="8">
        <v>68419.0</v>
      </c>
      <c r="C90" s="4">
        <v>947.0</v>
      </c>
      <c r="D90" s="5">
        <v>779.81</v>
      </c>
      <c r="E90" s="4">
        <v>15.0</v>
      </c>
      <c r="F90" s="5">
        <v>1678.15</v>
      </c>
    </row>
    <row r="91" ht="15.75" customHeight="1">
      <c r="A91" s="34">
        <v>45016.0</v>
      </c>
      <c r="B91" s="8">
        <v>63280.0</v>
      </c>
      <c r="C91" s="4">
        <v>870.0</v>
      </c>
      <c r="D91" s="5">
        <v>738.85</v>
      </c>
      <c r="E91" s="4">
        <v>17.0</v>
      </c>
      <c r="F91" s="5">
        <v>2053.94</v>
      </c>
    </row>
    <row r="92" ht="15.75" customHeight="1">
      <c r="A92" s="34">
        <v>45017.0</v>
      </c>
      <c r="B92" s="8">
        <v>82108.0</v>
      </c>
      <c r="C92" s="4">
        <v>1497.0</v>
      </c>
      <c r="D92" s="5">
        <v>1407.16</v>
      </c>
      <c r="E92" s="4">
        <v>31.0</v>
      </c>
      <c r="F92" s="5">
        <v>3285.62</v>
      </c>
    </row>
    <row r="93" ht="15.75" customHeight="1">
      <c r="A93" s="34">
        <v>45018.0</v>
      </c>
      <c r="B93" s="8">
        <v>101144.0</v>
      </c>
      <c r="C93" s="4">
        <v>2173.0</v>
      </c>
      <c r="D93" s="5">
        <v>2677.62</v>
      </c>
      <c r="E93" s="4">
        <v>52.0</v>
      </c>
      <c r="F93" s="5">
        <v>5694.08</v>
      </c>
    </row>
    <row r="94" ht="15.75" customHeight="1">
      <c r="A94" s="34">
        <v>45019.0</v>
      </c>
      <c r="B94" s="8">
        <v>37552.0</v>
      </c>
      <c r="C94" s="4">
        <v>406.0</v>
      </c>
      <c r="D94" s="5">
        <v>400.94</v>
      </c>
      <c r="E94" s="4">
        <v>8.0</v>
      </c>
      <c r="F94" s="5">
        <v>1026.95</v>
      </c>
    </row>
    <row r="95" ht="15.75" customHeight="1">
      <c r="A95" s="34">
        <v>45020.0</v>
      </c>
      <c r="B95" s="8">
        <v>83984.0</v>
      </c>
      <c r="C95" s="4">
        <v>2715.0</v>
      </c>
      <c r="D95" s="5">
        <v>2446.32</v>
      </c>
      <c r="E95" s="4">
        <v>63.0</v>
      </c>
      <c r="F95" s="5">
        <v>8110.42</v>
      </c>
    </row>
    <row r="96" ht="15.75" customHeight="1">
      <c r="A96" s="34">
        <v>45021.0</v>
      </c>
      <c r="B96" s="8">
        <v>31124.0</v>
      </c>
      <c r="C96" s="4">
        <v>560.0</v>
      </c>
      <c r="D96" s="5">
        <v>618.1</v>
      </c>
      <c r="E96" s="4">
        <v>8.0</v>
      </c>
      <c r="F96" s="5">
        <v>904.27</v>
      </c>
    </row>
    <row r="97" ht="15.75" customHeight="1">
      <c r="A97" s="34">
        <v>45022.0</v>
      </c>
      <c r="B97" s="8">
        <v>107055.0</v>
      </c>
      <c r="C97" s="4">
        <v>2231.0</v>
      </c>
      <c r="D97" s="5">
        <v>2270.2</v>
      </c>
      <c r="E97" s="4">
        <v>40.0</v>
      </c>
      <c r="F97" s="5">
        <v>6199.92</v>
      </c>
    </row>
    <row r="98" ht="15.75" customHeight="1">
      <c r="A98" s="34">
        <v>45023.0</v>
      </c>
      <c r="B98" s="8">
        <v>92834.0</v>
      </c>
      <c r="C98" s="4">
        <v>2642.0</v>
      </c>
      <c r="D98" s="5">
        <v>2962.67</v>
      </c>
      <c r="E98" s="4">
        <v>53.0</v>
      </c>
      <c r="F98" s="5">
        <v>8151.16</v>
      </c>
    </row>
    <row r="99" ht="15.75" customHeight="1">
      <c r="A99" s="34">
        <v>45024.0</v>
      </c>
      <c r="B99" s="8">
        <v>93548.0</v>
      </c>
      <c r="C99" s="4">
        <v>2410.0</v>
      </c>
      <c r="D99" s="5">
        <v>3061.54</v>
      </c>
      <c r="E99" s="4">
        <v>36.0</v>
      </c>
      <c r="F99" s="5">
        <v>7034.84</v>
      </c>
    </row>
    <row r="100" ht="15.75" customHeight="1">
      <c r="A100" s="34">
        <v>45025.0</v>
      </c>
      <c r="B100" s="8">
        <v>67530.0</v>
      </c>
      <c r="C100" s="4">
        <v>746.0</v>
      </c>
      <c r="D100" s="5">
        <v>686.68</v>
      </c>
      <c r="E100" s="4">
        <v>15.0</v>
      </c>
      <c r="F100" s="5">
        <v>1653.13</v>
      </c>
    </row>
    <row r="101" ht="15.75" customHeight="1">
      <c r="A101" s="34">
        <v>45026.0</v>
      </c>
      <c r="B101" s="8">
        <v>60105.0</v>
      </c>
      <c r="C101" s="4">
        <v>1086.0</v>
      </c>
      <c r="D101" s="5">
        <v>915.44</v>
      </c>
      <c r="E101" s="4">
        <v>15.0</v>
      </c>
      <c r="F101" s="5">
        <v>2190.26</v>
      </c>
    </row>
    <row r="102" ht="15.75" customHeight="1">
      <c r="A102" s="34">
        <v>45027.0</v>
      </c>
      <c r="B102" s="8">
        <v>84824.0</v>
      </c>
      <c r="C102" s="4">
        <v>2443.0</v>
      </c>
      <c r="D102" s="5">
        <v>2106.58</v>
      </c>
      <c r="E102" s="4">
        <v>46.0</v>
      </c>
      <c r="F102" s="5">
        <v>8867.41</v>
      </c>
    </row>
    <row r="103" ht="15.75" customHeight="1">
      <c r="A103" s="34">
        <v>45028.0</v>
      </c>
      <c r="B103" s="8">
        <v>105323.0</v>
      </c>
      <c r="C103" s="4">
        <v>2081.0</v>
      </c>
      <c r="D103" s="5">
        <v>1659.67</v>
      </c>
      <c r="E103" s="4">
        <v>26.0</v>
      </c>
      <c r="F103" s="5">
        <v>2961.86</v>
      </c>
    </row>
    <row r="104" ht="15.75" customHeight="1">
      <c r="A104" s="34">
        <v>45029.0</v>
      </c>
      <c r="B104" s="8">
        <v>31259.0</v>
      </c>
      <c r="C104" s="4">
        <v>541.0</v>
      </c>
      <c r="D104" s="5">
        <v>593.39</v>
      </c>
      <c r="E104" s="4">
        <v>7.0</v>
      </c>
      <c r="F104" s="5">
        <v>1133.83</v>
      </c>
    </row>
    <row r="105" ht="15.75" customHeight="1">
      <c r="A105" s="34">
        <v>45030.0</v>
      </c>
      <c r="B105" s="8">
        <v>91359.0</v>
      </c>
      <c r="C105" s="4">
        <v>1258.0</v>
      </c>
      <c r="D105" s="5">
        <v>1167.15</v>
      </c>
      <c r="E105" s="4">
        <v>26.0</v>
      </c>
      <c r="F105" s="5">
        <v>4112.21</v>
      </c>
    </row>
    <row r="106" ht="15.75" customHeight="1">
      <c r="A106" s="34">
        <v>45031.0</v>
      </c>
      <c r="B106" s="8">
        <v>104336.0</v>
      </c>
      <c r="C106" s="4">
        <v>2473.0</v>
      </c>
      <c r="D106" s="5">
        <v>3174.61</v>
      </c>
      <c r="E106" s="4">
        <v>45.0</v>
      </c>
      <c r="F106" s="5">
        <v>7606.96</v>
      </c>
    </row>
    <row r="107" ht="15.75" customHeight="1">
      <c r="A107" s="34">
        <v>45032.0</v>
      </c>
      <c r="B107" s="8">
        <v>33853.0</v>
      </c>
      <c r="C107" s="4">
        <v>448.0</v>
      </c>
      <c r="D107" s="5">
        <v>320.57</v>
      </c>
      <c r="E107" s="4">
        <v>10.0</v>
      </c>
      <c r="F107" s="5">
        <v>1637.38</v>
      </c>
    </row>
    <row r="108" ht="15.75" customHeight="1">
      <c r="A108" s="34">
        <v>45033.0</v>
      </c>
      <c r="B108" s="8">
        <v>98110.0</v>
      </c>
      <c r="C108" s="4">
        <v>1317.0</v>
      </c>
      <c r="D108" s="5">
        <v>1477.33</v>
      </c>
      <c r="E108" s="4">
        <v>25.0</v>
      </c>
      <c r="F108" s="5">
        <v>4448.45</v>
      </c>
    </row>
    <row r="109" ht="15.75" customHeight="1">
      <c r="A109" s="34">
        <v>45034.0</v>
      </c>
      <c r="B109" s="8">
        <v>106221.0</v>
      </c>
      <c r="C109" s="4">
        <v>2271.0</v>
      </c>
      <c r="D109" s="5">
        <v>2090.29</v>
      </c>
      <c r="E109" s="4">
        <v>56.0</v>
      </c>
      <c r="F109" s="5">
        <v>7749.33</v>
      </c>
    </row>
    <row r="110" ht="15.75" customHeight="1">
      <c r="A110" s="34">
        <v>45035.0</v>
      </c>
      <c r="B110" s="8">
        <v>32684.0</v>
      </c>
      <c r="C110" s="4">
        <v>497.0</v>
      </c>
      <c r="D110" s="5">
        <v>600.0</v>
      </c>
      <c r="E110" s="4">
        <v>5.0</v>
      </c>
      <c r="F110" s="5">
        <v>908.51</v>
      </c>
    </row>
    <row r="111" ht="15.75" customHeight="1">
      <c r="A111" s="34">
        <v>45036.0</v>
      </c>
      <c r="B111" s="8">
        <v>54010.0</v>
      </c>
      <c r="C111" s="4">
        <v>893.0</v>
      </c>
      <c r="D111" s="5">
        <v>1025.58</v>
      </c>
      <c r="E111" s="4">
        <v>21.0</v>
      </c>
      <c r="F111" s="5">
        <v>4091.39</v>
      </c>
    </row>
    <row r="112" ht="15.75" customHeight="1">
      <c r="A112" s="34">
        <v>45037.0</v>
      </c>
      <c r="B112" s="8">
        <v>96927.0</v>
      </c>
      <c r="C112" s="4">
        <v>2951.0</v>
      </c>
      <c r="D112" s="5">
        <v>2773.18</v>
      </c>
      <c r="E112" s="4">
        <v>70.0</v>
      </c>
      <c r="F112" s="5">
        <v>12503.55</v>
      </c>
    </row>
    <row r="113" ht="15.75" customHeight="1">
      <c r="A113" s="34">
        <v>45038.0</v>
      </c>
      <c r="B113" s="8">
        <v>95134.0</v>
      </c>
      <c r="C113" s="4">
        <v>2463.0</v>
      </c>
      <c r="D113" s="5">
        <v>3002.82</v>
      </c>
      <c r="E113" s="4">
        <v>33.0</v>
      </c>
      <c r="F113" s="5">
        <v>5769.31</v>
      </c>
    </row>
    <row r="114" ht="15.75" customHeight="1">
      <c r="A114" s="34">
        <v>45039.0</v>
      </c>
      <c r="B114" s="8">
        <v>93721.0</v>
      </c>
      <c r="C114" s="4">
        <v>2577.0</v>
      </c>
      <c r="D114" s="5">
        <v>1670.74</v>
      </c>
      <c r="E114" s="4">
        <v>50.0</v>
      </c>
      <c r="F114" s="5">
        <v>7529.67</v>
      </c>
    </row>
    <row r="115" ht="15.75" customHeight="1">
      <c r="A115" s="34">
        <v>45040.0</v>
      </c>
      <c r="B115" s="8">
        <v>106633.0</v>
      </c>
      <c r="C115" s="4">
        <v>1273.0</v>
      </c>
      <c r="D115" s="5">
        <v>1593.0</v>
      </c>
      <c r="E115" s="4">
        <v>31.0</v>
      </c>
      <c r="F115" s="5">
        <v>4856.83</v>
      </c>
    </row>
    <row r="116" ht="15.75" customHeight="1">
      <c r="A116" s="34">
        <v>45041.0</v>
      </c>
      <c r="B116" s="8">
        <v>56603.0</v>
      </c>
      <c r="C116" s="4">
        <v>1301.0</v>
      </c>
      <c r="D116" s="5">
        <v>1687.21</v>
      </c>
      <c r="E116" s="4">
        <v>31.0</v>
      </c>
      <c r="F116" s="5">
        <v>5627.28</v>
      </c>
    </row>
    <row r="117" ht="15.75" customHeight="1">
      <c r="A117" s="34">
        <v>45042.0</v>
      </c>
      <c r="B117" s="8">
        <v>87544.0</v>
      </c>
      <c r="C117" s="4">
        <v>1203.0</v>
      </c>
      <c r="D117" s="5">
        <v>1404.78</v>
      </c>
      <c r="E117" s="4">
        <v>25.0</v>
      </c>
      <c r="F117" s="5">
        <v>4364.53</v>
      </c>
    </row>
    <row r="118" ht="15.75" customHeight="1">
      <c r="A118" s="34">
        <v>45043.0</v>
      </c>
      <c r="B118" s="8">
        <v>36500.0</v>
      </c>
      <c r="C118" s="4">
        <v>687.0</v>
      </c>
      <c r="D118" s="5">
        <v>821.19</v>
      </c>
      <c r="E118" s="4">
        <v>11.0</v>
      </c>
      <c r="F118" s="5">
        <v>1509.17</v>
      </c>
    </row>
    <row r="119" ht="15.75" customHeight="1">
      <c r="A119" s="34">
        <v>45044.0</v>
      </c>
      <c r="B119" s="8">
        <v>73941.0</v>
      </c>
      <c r="C119" s="4">
        <v>873.0</v>
      </c>
      <c r="D119" s="5">
        <v>673.79</v>
      </c>
      <c r="E119" s="4">
        <v>16.0</v>
      </c>
      <c r="F119" s="5">
        <v>2848.56</v>
      </c>
    </row>
    <row r="120" ht="15.75" customHeight="1">
      <c r="A120" s="34">
        <v>45045.0</v>
      </c>
      <c r="B120" s="8">
        <v>50445.0</v>
      </c>
      <c r="C120" s="4">
        <v>1052.0</v>
      </c>
      <c r="D120" s="5">
        <v>893.77</v>
      </c>
      <c r="E120" s="4">
        <v>18.0</v>
      </c>
      <c r="F120" s="5">
        <v>2525.46</v>
      </c>
    </row>
    <row r="121" ht="15.75" customHeight="1">
      <c r="A121" s="34">
        <v>45046.0</v>
      </c>
      <c r="B121" s="8">
        <v>78862.0</v>
      </c>
      <c r="C121" s="4">
        <v>1696.0</v>
      </c>
      <c r="D121" s="5">
        <v>1891.68</v>
      </c>
      <c r="E121" s="4">
        <v>31.0</v>
      </c>
      <c r="F121" s="5">
        <v>4144.68</v>
      </c>
    </row>
    <row r="122" ht="15.75" customHeight="1">
      <c r="A122" s="34">
        <v>45047.0</v>
      </c>
      <c r="B122" s="8">
        <v>23864.0</v>
      </c>
      <c r="C122" s="4">
        <v>273.0</v>
      </c>
      <c r="D122" s="5">
        <v>264.56</v>
      </c>
      <c r="E122" s="4">
        <v>5.0</v>
      </c>
      <c r="F122" s="5">
        <v>739.83</v>
      </c>
    </row>
    <row r="123" ht="15.75" customHeight="1">
      <c r="A123" s="34">
        <v>45048.0</v>
      </c>
      <c r="B123" s="8">
        <v>105776.0</v>
      </c>
      <c r="C123" s="4">
        <v>1625.0</v>
      </c>
      <c r="D123" s="5">
        <v>1411.93</v>
      </c>
      <c r="E123" s="4">
        <v>30.0</v>
      </c>
      <c r="F123" s="5">
        <v>3362.68</v>
      </c>
    </row>
    <row r="124" ht="15.75" customHeight="1">
      <c r="A124" s="34">
        <v>45049.0</v>
      </c>
      <c r="B124" s="8">
        <v>71503.0</v>
      </c>
      <c r="C124" s="4">
        <v>1718.0</v>
      </c>
      <c r="D124" s="5">
        <v>1793.38</v>
      </c>
      <c r="E124" s="4">
        <v>33.0</v>
      </c>
      <c r="F124" s="5">
        <v>4422.61</v>
      </c>
    </row>
    <row r="125" ht="15.75" customHeight="1">
      <c r="A125" s="34">
        <v>45050.0</v>
      </c>
      <c r="B125" s="8">
        <v>63243.0</v>
      </c>
      <c r="C125" s="4">
        <v>1682.0</v>
      </c>
      <c r="D125" s="5">
        <v>1679.67</v>
      </c>
      <c r="E125" s="4">
        <v>35.0</v>
      </c>
      <c r="F125" s="5">
        <v>5796.86</v>
      </c>
    </row>
    <row r="126" ht="15.75" customHeight="1">
      <c r="A126" s="34">
        <v>45051.0</v>
      </c>
      <c r="B126" s="8">
        <v>98985.0</v>
      </c>
      <c r="C126" s="4">
        <v>2196.0</v>
      </c>
      <c r="D126" s="5">
        <v>2476.33</v>
      </c>
      <c r="E126" s="4">
        <v>53.0</v>
      </c>
      <c r="F126" s="5">
        <v>9078.04</v>
      </c>
    </row>
    <row r="127" ht="15.75" customHeight="1">
      <c r="A127" s="34">
        <v>45052.0</v>
      </c>
      <c r="B127" s="8">
        <v>61037.0</v>
      </c>
      <c r="C127" s="4">
        <v>1138.0</v>
      </c>
      <c r="D127" s="5">
        <v>782.95</v>
      </c>
      <c r="E127" s="4">
        <v>21.0</v>
      </c>
      <c r="F127" s="5">
        <v>3436.02</v>
      </c>
    </row>
    <row r="128" ht="15.75" customHeight="1">
      <c r="A128" s="34">
        <v>45053.0</v>
      </c>
      <c r="B128" s="8">
        <v>80994.0</v>
      </c>
      <c r="C128" s="4">
        <v>2260.0</v>
      </c>
      <c r="D128" s="5">
        <v>2885.15</v>
      </c>
      <c r="E128" s="4">
        <v>32.0</v>
      </c>
      <c r="F128" s="5">
        <v>3746.34</v>
      </c>
    </row>
    <row r="129" ht="15.75" customHeight="1">
      <c r="A129" s="34">
        <v>45054.0</v>
      </c>
      <c r="B129" s="8">
        <v>33418.0</v>
      </c>
      <c r="C129" s="4">
        <v>570.0</v>
      </c>
      <c r="D129" s="5">
        <v>465.43</v>
      </c>
      <c r="E129" s="4">
        <v>7.0</v>
      </c>
      <c r="F129" s="5">
        <v>1224.93</v>
      </c>
    </row>
    <row r="130" ht="15.75" customHeight="1">
      <c r="A130" s="34">
        <v>45055.0</v>
      </c>
      <c r="B130" s="8">
        <v>89151.0</v>
      </c>
      <c r="C130" s="4">
        <v>2456.0</v>
      </c>
      <c r="D130" s="5">
        <v>1941.91</v>
      </c>
      <c r="E130" s="4">
        <v>56.0</v>
      </c>
      <c r="F130" s="5">
        <v>8511.34</v>
      </c>
    </row>
    <row r="131" ht="15.75" customHeight="1">
      <c r="A131" s="34">
        <v>45056.0</v>
      </c>
      <c r="B131" s="8">
        <v>79326.0</v>
      </c>
      <c r="C131" s="4">
        <v>2420.0</v>
      </c>
      <c r="D131" s="5">
        <v>3059.05</v>
      </c>
      <c r="E131" s="4">
        <v>50.0</v>
      </c>
      <c r="F131" s="5">
        <v>7266.33</v>
      </c>
    </row>
    <row r="132" ht="15.75" customHeight="1">
      <c r="A132" s="34">
        <v>45057.0</v>
      </c>
      <c r="B132" s="8">
        <v>22790.0</v>
      </c>
      <c r="C132" s="4">
        <v>290.0</v>
      </c>
      <c r="D132" s="5">
        <v>374.13</v>
      </c>
      <c r="E132" s="4">
        <v>5.0</v>
      </c>
      <c r="F132" s="5">
        <v>559.72</v>
      </c>
    </row>
    <row r="133" ht="15.75" customHeight="1">
      <c r="A133" s="34">
        <v>45058.0</v>
      </c>
      <c r="B133" s="8">
        <v>40678.0</v>
      </c>
      <c r="C133" s="4">
        <v>953.0</v>
      </c>
      <c r="D133" s="5">
        <v>1045.39</v>
      </c>
      <c r="E133" s="4">
        <v>13.0</v>
      </c>
      <c r="F133" s="5">
        <v>2948.55</v>
      </c>
    </row>
    <row r="134" ht="15.75" customHeight="1">
      <c r="A134" s="34">
        <v>45059.0</v>
      </c>
      <c r="B134" s="8">
        <v>55547.0</v>
      </c>
      <c r="C134" s="4">
        <v>960.0</v>
      </c>
      <c r="D134" s="5">
        <v>865.14</v>
      </c>
      <c r="E134" s="4">
        <v>16.0</v>
      </c>
      <c r="F134" s="5">
        <v>2168.36</v>
      </c>
    </row>
    <row r="135" ht="15.75" customHeight="1">
      <c r="A135" s="34">
        <v>45060.0</v>
      </c>
      <c r="B135" s="8">
        <v>109779.0</v>
      </c>
      <c r="C135" s="4">
        <v>1902.0</v>
      </c>
      <c r="D135" s="5">
        <v>2405.08</v>
      </c>
      <c r="E135" s="4">
        <v>25.0</v>
      </c>
      <c r="F135" s="5">
        <v>2659.76</v>
      </c>
    </row>
    <row r="136" ht="15.75" customHeight="1">
      <c r="A136" s="34">
        <v>45061.0</v>
      </c>
      <c r="B136" s="8">
        <v>28118.0</v>
      </c>
      <c r="C136" s="4">
        <v>436.0</v>
      </c>
      <c r="D136" s="5">
        <v>291.83</v>
      </c>
      <c r="E136" s="4">
        <v>10.0</v>
      </c>
      <c r="F136" s="5">
        <v>1150.81</v>
      </c>
    </row>
    <row r="137" ht="15.75" customHeight="1">
      <c r="A137" s="34">
        <v>45062.0</v>
      </c>
      <c r="B137" s="8">
        <v>69272.0</v>
      </c>
      <c r="C137" s="4">
        <v>1483.0</v>
      </c>
      <c r="D137" s="5">
        <v>1201.95</v>
      </c>
      <c r="E137" s="4">
        <v>36.0</v>
      </c>
      <c r="F137" s="5">
        <v>5861.39</v>
      </c>
    </row>
    <row r="138" ht="15.75" customHeight="1">
      <c r="A138" s="34">
        <v>45063.0</v>
      </c>
      <c r="B138" s="8">
        <v>57726.0</v>
      </c>
      <c r="C138" s="4">
        <v>1211.0</v>
      </c>
      <c r="D138" s="5">
        <v>1052.6</v>
      </c>
      <c r="E138" s="4">
        <v>18.0</v>
      </c>
      <c r="F138" s="5">
        <v>2443.85</v>
      </c>
    </row>
    <row r="139" ht="15.75" customHeight="1">
      <c r="A139" s="34">
        <v>45064.0</v>
      </c>
      <c r="B139" s="8">
        <v>103503.0</v>
      </c>
      <c r="C139" s="4">
        <v>1777.0</v>
      </c>
      <c r="D139" s="5">
        <v>2004.65</v>
      </c>
      <c r="E139" s="4">
        <v>42.0</v>
      </c>
      <c r="F139" s="5">
        <v>7215.04</v>
      </c>
    </row>
    <row r="140" ht="15.75" customHeight="1">
      <c r="A140" s="34">
        <v>45065.0</v>
      </c>
      <c r="B140" s="8">
        <v>76342.0</v>
      </c>
      <c r="C140" s="4">
        <v>2283.0</v>
      </c>
      <c r="D140" s="5">
        <v>1954.35</v>
      </c>
      <c r="E140" s="4">
        <v>52.0</v>
      </c>
      <c r="F140" s="5">
        <v>8322.28</v>
      </c>
    </row>
    <row r="141" ht="15.75" customHeight="1">
      <c r="A141" s="34">
        <v>45066.0</v>
      </c>
      <c r="B141" s="8">
        <v>92082.0</v>
      </c>
      <c r="C141" s="4">
        <v>1023.0</v>
      </c>
      <c r="D141" s="5">
        <v>803.67</v>
      </c>
      <c r="E141" s="4">
        <v>13.0</v>
      </c>
      <c r="F141" s="5">
        <v>1481.72</v>
      </c>
    </row>
    <row r="142" ht="15.75" customHeight="1">
      <c r="A142" s="34">
        <v>45067.0</v>
      </c>
      <c r="B142" s="8">
        <v>99787.0</v>
      </c>
      <c r="C142" s="4">
        <v>1411.0</v>
      </c>
      <c r="D142" s="5">
        <v>1317.97</v>
      </c>
      <c r="E142" s="4">
        <v>31.0</v>
      </c>
      <c r="F142" s="5">
        <v>5758.2</v>
      </c>
    </row>
    <row r="143" ht="15.75" customHeight="1">
      <c r="A143" s="34">
        <v>45068.0</v>
      </c>
      <c r="B143" s="8">
        <v>70771.0</v>
      </c>
      <c r="C143" s="4">
        <v>781.0</v>
      </c>
      <c r="D143" s="5">
        <v>983.66</v>
      </c>
      <c r="E143" s="4">
        <v>17.0</v>
      </c>
      <c r="F143" s="5">
        <v>2675.11</v>
      </c>
    </row>
    <row r="144" ht="15.75" customHeight="1">
      <c r="A144" s="34">
        <v>45069.0</v>
      </c>
      <c r="B144" s="8">
        <v>85530.0</v>
      </c>
      <c r="C144" s="4">
        <v>1390.0</v>
      </c>
      <c r="D144" s="5">
        <v>1442.12</v>
      </c>
      <c r="E144" s="4">
        <v>23.0</v>
      </c>
      <c r="F144" s="5">
        <v>4138.58</v>
      </c>
    </row>
    <row r="145" ht="15.75" customHeight="1">
      <c r="A145" s="34">
        <v>45070.0</v>
      </c>
      <c r="B145" s="8">
        <v>98375.0</v>
      </c>
      <c r="C145" s="4">
        <v>1251.0</v>
      </c>
      <c r="D145" s="5">
        <v>1191.96</v>
      </c>
      <c r="E145" s="4">
        <v>21.0</v>
      </c>
      <c r="F145" s="5">
        <v>3219.02</v>
      </c>
    </row>
    <row r="146" ht="15.75" customHeight="1">
      <c r="A146" s="34">
        <v>45071.0</v>
      </c>
      <c r="B146" s="8">
        <v>77897.0</v>
      </c>
      <c r="C146" s="4">
        <v>2357.0</v>
      </c>
      <c r="D146" s="5">
        <v>2750.92</v>
      </c>
      <c r="E146" s="4">
        <v>32.0</v>
      </c>
      <c r="F146" s="5">
        <v>4489.36</v>
      </c>
    </row>
    <row r="147" ht="15.75" customHeight="1">
      <c r="A147" s="34">
        <v>45072.0</v>
      </c>
      <c r="B147" s="8">
        <v>86246.0</v>
      </c>
      <c r="C147" s="4">
        <v>2410.0</v>
      </c>
      <c r="D147" s="5">
        <v>3077.7</v>
      </c>
      <c r="E147" s="4">
        <v>51.0</v>
      </c>
      <c r="F147" s="5">
        <v>7945.47</v>
      </c>
    </row>
    <row r="148" ht="15.75" customHeight="1">
      <c r="A148" s="34">
        <v>45073.0</v>
      </c>
      <c r="B148" s="8">
        <v>43009.0</v>
      </c>
      <c r="C148" s="4">
        <v>863.0</v>
      </c>
      <c r="D148" s="5">
        <v>728.04</v>
      </c>
      <c r="E148" s="4">
        <v>11.0</v>
      </c>
      <c r="F148" s="5">
        <v>2146.81</v>
      </c>
    </row>
    <row r="149" ht="15.75" customHeight="1">
      <c r="A149" s="34">
        <v>45074.0</v>
      </c>
      <c r="B149" s="8">
        <v>87760.0</v>
      </c>
      <c r="C149" s="4">
        <v>2625.0</v>
      </c>
      <c r="D149" s="5">
        <v>2909.2</v>
      </c>
      <c r="E149" s="4">
        <v>57.0</v>
      </c>
      <c r="F149" s="5">
        <v>10454.51</v>
      </c>
    </row>
    <row r="150" ht="15.75" customHeight="1">
      <c r="A150" s="34">
        <v>45075.0</v>
      </c>
      <c r="B150" s="8">
        <v>69878.0</v>
      </c>
      <c r="C150" s="4">
        <v>1583.0</v>
      </c>
      <c r="D150" s="5">
        <v>1026.43</v>
      </c>
      <c r="E150" s="4">
        <v>37.0</v>
      </c>
      <c r="F150" s="5">
        <v>4791.63</v>
      </c>
    </row>
    <row r="151" ht="15.75" customHeight="1">
      <c r="A151" s="34">
        <v>45076.0</v>
      </c>
      <c r="B151" s="8">
        <v>53057.0</v>
      </c>
      <c r="C151" s="4">
        <v>1440.0</v>
      </c>
      <c r="D151" s="5">
        <v>1679.66</v>
      </c>
      <c r="E151" s="4">
        <v>25.0</v>
      </c>
      <c r="F151" s="5">
        <v>4818.95</v>
      </c>
    </row>
    <row r="152" ht="15.75" customHeight="1">
      <c r="A152" s="34">
        <v>45077.0</v>
      </c>
      <c r="B152" s="8">
        <v>34731.0</v>
      </c>
      <c r="C152" s="4">
        <v>387.0</v>
      </c>
      <c r="D152" s="5">
        <v>326.5</v>
      </c>
      <c r="E152" s="4">
        <v>5.0</v>
      </c>
      <c r="F152" s="5">
        <v>820.62</v>
      </c>
    </row>
    <row r="153" ht="15.75" customHeight="1">
      <c r="A153" s="34">
        <v>45078.0</v>
      </c>
      <c r="B153" s="8">
        <v>63163.0</v>
      </c>
      <c r="C153" s="4">
        <v>1478.0</v>
      </c>
      <c r="D153" s="5">
        <v>1054.13</v>
      </c>
      <c r="E153" s="4">
        <v>25.0</v>
      </c>
      <c r="F153" s="5">
        <v>3376.66</v>
      </c>
    </row>
    <row r="154" ht="15.75" customHeight="1">
      <c r="A154" s="34">
        <v>45079.0</v>
      </c>
      <c r="B154" s="8">
        <v>106967.0</v>
      </c>
      <c r="C154" s="4">
        <v>2141.0</v>
      </c>
      <c r="D154" s="5">
        <v>2664.52</v>
      </c>
      <c r="E154" s="4">
        <v>48.0</v>
      </c>
      <c r="F154" s="5">
        <v>5322.36</v>
      </c>
    </row>
    <row r="155" ht="15.75" customHeight="1">
      <c r="A155" s="34">
        <v>45080.0</v>
      </c>
      <c r="B155" s="8">
        <v>37432.0</v>
      </c>
      <c r="C155" s="4">
        <v>687.0</v>
      </c>
      <c r="D155" s="5">
        <v>821.12</v>
      </c>
      <c r="E155" s="4">
        <v>16.0</v>
      </c>
      <c r="F155" s="5">
        <v>3125.51</v>
      </c>
    </row>
    <row r="156" ht="15.75" customHeight="1">
      <c r="A156" s="34">
        <v>45081.0</v>
      </c>
      <c r="B156" s="8">
        <v>67429.0</v>
      </c>
      <c r="C156" s="4">
        <v>1523.0</v>
      </c>
      <c r="D156" s="5">
        <v>1669.35</v>
      </c>
      <c r="E156" s="4">
        <v>37.0</v>
      </c>
      <c r="F156" s="5">
        <v>4158.43</v>
      </c>
    </row>
    <row r="157" ht="15.75" customHeight="1">
      <c r="A157" s="34">
        <v>45082.0</v>
      </c>
      <c r="B157" s="8">
        <v>77747.0</v>
      </c>
      <c r="C157" s="4">
        <v>2485.0</v>
      </c>
      <c r="D157" s="5">
        <v>1755.54</v>
      </c>
      <c r="E157" s="4">
        <v>50.0</v>
      </c>
      <c r="F157" s="5">
        <v>6348.91</v>
      </c>
    </row>
    <row r="158" ht="15.75" customHeight="1">
      <c r="A158" s="34">
        <v>45083.0</v>
      </c>
      <c r="B158" s="8">
        <v>87672.0</v>
      </c>
      <c r="C158" s="4">
        <v>1705.0</v>
      </c>
      <c r="D158" s="5">
        <v>2088.33</v>
      </c>
      <c r="E158" s="4">
        <v>35.0</v>
      </c>
      <c r="F158" s="5">
        <v>3813.75</v>
      </c>
    </row>
    <row r="159" ht="15.75" customHeight="1">
      <c r="A159" s="34">
        <v>45084.0</v>
      </c>
      <c r="B159" s="8">
        <v>83799.0</v>
      </c>
      <c r="C159" s="4">
        <v>1971.0</v>
      </c>
      <c r="D159" s="5">
        <v>1686.49</v>
      </c>
      <c r="E159" s="4">
        <v>43.0</v>
      </c>
      <c r="F159" s="5">
        <v>8700.65</v>
      </c>
    </row>
    <row r="160" ht="15.75" customHeight="1">
      <c r="A160" s="34">
        <v>45085.0</v>
      </c>
      <c r="B160" s="8">
        <v>103028.0</v>
      </c>
      <c r="C160" s="4">
        <v>2608.0</v>
      </c>
      <c r="D160" s="5">
        <v>2164.17</v>
      </c>
      <c r="E160" s="4">
        <v>43.0</v>
      </c>
      <c r="F160" s="5">
        <v>8388.07</v>
      </c>
    </row>
    <row r="161" ht="15.75" customHeight="1">
      <c r="A161" s="34">
        <v>45086.0</v>
      </c>
      <c r="B161" s="8">
        <v>54088.0</v>
      </c>
      <c r="C161" s="4">
        <v>777.0</v>
      </c>
      <c r="D161" s="5">
        <v>721.01</v>
      </c>
      <c r="E161" s="4">
        <v>10.0</v>
      </c>
      <c r="F161" s="5">
        <v>1407.11</v>
      </c>
    </row>
    <row r="162" ht="15.75" customHeight="1">
      <c r="A162" s="34">
        <v>45087.0</v>
      </c>
      <c r="B162" s="8">
        <v>97802.0</v>
      </c>
      <c r="C162" s="4">
        <v>2880.0</v>
      </c>
      <c r="D162" s="5">
        <v>1997.32</v>
      </c>
      <c r="E162" s="4">
        <v>37.0</v>
      </c>
      <c r="F162" s="5">
        <v>5095.58</v>
      </c>
    </row>
    <row r="163" ht="15.75" customHeight="1">
      <c r="A163" s="34">
        <v>45088.0</v>
      </c>
      <c r="B163" s="8">
        <v>99976.0</v>
      </c>
      <c r="C163" s="4">
        <v>1506.0</v>
      </c>
      <c r="D163" s="5">
        <v>1171.56</v>
      </c>
      <c r="E163" s="4">
        <v>18.0</v>
      </c>
      <c r="F163" s="5">
        <v>3460.45</v>
      </c>
    </row>
    <row r="164" ht="15.75" customHeight="1">
      <c r="A164" s="34">
        <v>45089.0</v>
      </c>
      <c r="B164" s="8">
        <v>30604.0</v>
      </c>
      <c r="C164" s="4">
        <v>528.0</v>
      </c>
      <c r="D164" s="5">
        <v>353.31</v>
      </c>
      <c r="E164" s="4">
        <v>10.0</v>
      </c>
      <c r="F164" s="5">
        <v>1838.8</v>
      </c>
    </row>
    <row r="165" ht="15.75" customHeight="1">
      <c r="A165" s="34">
        <v>45090.0</v>
      </c>
      <c r="B165" s="8">
        <v>54819.0</v>
      </c>
      <c r="C165" s="4">
        <v>1568.0</v>
      </c>
      <c r="D165" s="5">
        <v>1932.51</v>
      </c>
      <c r="E165" s="4">
        <v>37.0</v>
      </c>
      <c r="F165" s="5">
        <v>6023.59</v>
      </c>
    </row>
    <row r="166" ht="15.75" customHeight="1">
      <c r="A166" s="34">
        <v>45091.0</v>
      </c>
      <c r="B166" s="8">
        <v>73303.0</v>
      </c>
      <c r="C166" s="4">
        <v>1583.0</v>
      </c>
      <c r="D166" s="5">
        <v>1170.46</v>
      </c>
      <c r="E166" s="4">
        <v>26.0</v>
      </c>
      <c r="F166" s="5">
        <v>4605.04</v>
      </c>
    </row>
    <row r="167" ht="15.75" customHeight="1">
      <c r="A167" s="34">
        <v>45092.0</v>
      </c>
      <c r="B167" s="8">
        <v>89047.0</v>
      </c>
      <c r="C167" s="4">
        <v>2598.0</v>
      </c>
      <c r="D167" s="5">
        <v>2122.64</v>
      </c>
      <c r="E167" s="4">
        <v>63.0</v>
      </c>
      <c r="F167" s="5">
        <v>11430.06</v>
      </c>
    </row>
    <row r="168" ht="15.75" customHeight="1">
      <c r="A168" s="34">
        <v>45093.0</v>
      </c>
      <c r="B168" s="8">
        <v>105448.0</v>
      </c>
      <c r="C168" s="4">
        <v>3411.0</v>
      </c>
      <c r="D168" s="5">
        <v>4156.2</v>
      </c>
      <c r="E168" s="4">
        <v>55.0</v>
      </c>
      <c r="F168" s="5">
        <v>8672.41</v>
      </c>
    </row>
    <row r="169" ht="15.75" customHeight="1">
      <c r="A169" s="34">
        <v>45094.0</v>
      </c>
      <c r="B169" s="8">
        <v>38092.0</v>
      </c>
      <c r="C169" s="4">
        <v>631.0</v>
      </c>
      <c r="D169" s="5">
        <v>528.06</v>
      </c>
      <c r="E169" s="4">
        <v>7.0</v>
      </c>
      <c r="F169" s="5">
        <v>1499.43</v>
      </c>
    </row>
    <row r="170" ht="15.75" customHeight="1">
      <c r="A170" s="34">
        <v>45095.0</v>
      </c>
      <c r="B170" s="8">
        <v>43428.0</v>
      </c>
      <c r="C170" s="4">
        <v>431.0</v>
      </c>
      <c r="D170" s="5">
        <v>548.42</v>
      </c>
      <c r="E170" s="4">
        <v>7.0</v>
      </c>
      <c r="F170" s="5">
        <v>1099.01</v>
      </c>
    </row>
    <row r="171" ht="15.75" customHeight="1">
      <c r="A171" s="34">
        <v>45096.0</v>
      </c>
      <c r="B171" s="8">
        <v>56914.0</v>
      </c>
      <c r="C171" s="4">
        <v>1445.0</v>
      </c>
      <c r="D171" s="5">
        <v>1142.61</v>
      </c>
      <c r="E171" s="4">
        <v>20.0</v>
      </c>
      <c r="F171" s="5">
        <v>3668.22</v>
      </c>
    </row>
    <row r="172" ht="15.75" customHeight="1">
      <c r="A172" s="34">
        <v>45097.0</v>
      </c>
      <c r="B172" s="8">
        <v>67326.0</v>
      </c>
      <c r="C172" s="4">
        <v>1673.0</v>
      </c>
      <c r="D172" s="5">
        <v>1812.07</v>
      </c>
      <c r="E172" s="4">
        <v>40.0</v>
      </c>
      <c r="F172" s="5">
        <v>7021.82</v>
      </c>
    </row>
    <row r="173" ht="15.75" customHeight="1">
      <c r="A173" s="34">
        <v>45098.0</v>
      </c>
      <c r="B173" s="8">
        <v>84804.0</v>
      </c>
      <c r="C173" s="4">
        <v>2556.0</v>
      </c>
      <c r="D173" s="5">
        <v>2849.65</v>
      </c>
      <c r="E173" s="4">
        <v>50.0</v>
      </c>
      <c r="F173" s="5">
        <v>8310.74</v>
      </c>
    </row>
    <row r="174" ht="15.75" customHeight="1">
      <c r="A174" s="34">
        <v>45099.0</v>
      </c>
      <c r="B174" s="8">
        <v>87104.0</v>
      </c>
      <c r="C174" s="4">
        <v>2827.0</v>
      </c>
      <c r="D174" s="5">
        <v>3244.39</v>
      </c>
      <c r="E174" s="4">
        <v>47.0</v>
      </c>
      <c r="F174" s="5">
        <v>7545.81</v>
      </c>
    </row>
    <row r="175" ht="15.75" customHeight="1">
      <c r="A175" s="34">
        <v>45100.0</v>
      </c>
      <c r="B175" s="8">
        <v>78241.0</v>
      </c>
      <c r="C175" s="4">
        <v>1186.0</v>
      </c>
      <c r="D175" s="5">
        <v>1514.76</v>
      </c>
      <c r="E175" s="4">
        <v>28.0</v>
      </c>
      <c r="F175" s="5">
        <v>4697.89</v>
      </c>
    </row>
    <row r="176" ht="15.75" customHeight="1">
      <c r="A176" s="34">
        <v>45101.0</v>
      </c>
      <c r="B176" s="8">
        <v>81149.0</v>
      </c>
      <c r="C176" s="4">
        <v>1002.0</v>
      </c>
      <c r="D176" s="5">
        <v>1240.8</v>
      </c>
      <c r="E176" s="4">
        <v>20.0</v>
      </c>
      <c r="F176" s="5">
        <v>2760.64</v>
      </c>
    </row>
    <row r="177" ht="15.75" customHeight="1">
      <c r="A177" s="34">
        <v>45102.0</v>
      </c>
      <c r="B177" s="8">
        <v>39487.0</v>
      </c>
      <c r="C177" s="4">
        <v>562.0</v>
      </c>
      <c r="D177" s="5">
        <v>525.75</v>
      </c>
      <c r="E177" s="4">
        <v>10.0</v>
      </c>
      <c r="F177" s="5">
        <v>1894.91</v>
      </c>
    </row>
    <row r="178" ht="15.75" customHeight="1">
      <c r="A178" s="34">
        <v>45103.0</v>
      </c>
      <c r="B178" s="8">
        <v>84962.0</v>
      </c>
      <c r="C178" s="4">
        <v>1603.0</v>
      </c>
      <c r="D178" s="5">
        <v>1756.78</v>
      </c>
      <c r="E178" s="4">
        <v>36.0</v>
      </c>
      <c r="F178" s="5">
        <v>5322.1</v>
      </c>
    </row>
    <row r="179" ht="15.75" customHeight="1">
      <c r="A179" s="34">
        <v>45104.0</v>
      </c>
      <c r="B179" s="8">
        <v>40737.0</v>
      </c>
      <c r="C179" s="4">
        <v>975.0</v>
      </c>
      <c r="D179" s="5">
        <v>1055.44</v>
      </c>
      <c r="E179" s="4">
        <v>18.0</v>
      </c>
      <c r="F179" s="5">
        <v>2896.08</v>
      </c>
    </row>
    <row r="180" ht="15.75" customHeight="1">
      <c r="A180" s="34">
        <v>45105.0</v>
      </c>
      <c r="B180" s="8">
        <v>36437.0</v>
      </c>
      <c r="C180" s="4">
        <v>606.0</v>
      </c>
      <c r="D180" s="5">
        <v>703.83</v>
      </c>
      <c r="E180" s="4">
        <v>11.0</v>
      </c>
      <c r="F180" s="5">
        <v>1869.34</v>
      </c>
    </row>
    <row r="181" ht="15.75" customHeight="1">
      <c r="A181" s="34">
        <v>45106.0</v>
      </c>
      <c r="B181" s="8">
        <v>39098.0</v>
      </c>
      <c r="C181" s="4">
        <v>508.0</v>
      </c>
      <c r="D181" s="5">
        <v>393.08</v>
      </c>
      <c r="E181" s="4">
        <v>11.0</v>
      </c>
      <c r="F181" s="5">
        <v>1712.76</v>
      </c>
    </row>
    <row r="182" ht="15.75" customHeight="1">
      <c r="A182" s="34">
        <v>45107.0</v>
      </c>
      <c r="B182" s="8">
        <v>51620.0</v>
      </c>
      <c r="C182" s="4">
        <v>1133.0</v>
      </c>
      <c r="D182" s="5">
        <v>1419.14</v>
      </c>
      <c r="E182" s="4">
        <v>20.0</v>
      </c>
      <c r="F182" s="5">
        <v>3093.06</v>
      </c>
    </row>
    <row r="183" ht="15.75" customHeight="1">
      <c r="A183" s="34">
        <v>45108.0</v>
      </c>
      <c r="B183" s="8">
        <v>94118.0</v>
      </c>
      <c r="C183" s="4">
        <v>2970.0</v>
      </c>
      <c r="D183" s="5">
        <v>2790.83</v>
      </c>
      <c r="E183" s="4">
        <v>58.0</v>
      </c>
      <c r="F183" s="5">
        <v>10777.2</v>
      </c>
    </row>
    <row r="184" ht="15.75" customHeight="1">
      <c r="A184" s="34">
        <v>45109.0</v>
      </c>
      <c r="B184" s="8">
        <v>35842.0</v>
      </c>
      <c r="C184" s="4">
        <v>870.0</v>
      </c>
      <c r="D184" s="5">
        <v>586.31</v>
      </c>
      <c r="E184" s="4">
        <v>17.0</v>
      </c>
      <c r="F184" s="5">
        <v>3157.45</v>
      </c>
    </row>
    <row r="185" ht="15.75" customHeight="1">
      <c r="A185" s="34">
        <v>45110.0</v>
      </c>
      <c r="B185" s="8">
        <v>73596.0</v>
      </c>
      <c r="C185" s="4">
        <v>1565.0</v>
      </c>
      <c r="D185" s="5">
        <v>1887.2</v>
      </c>
      <c r="E185" s="4">
        <v>21.0</v>
      </c>
      <c r="F185" s="5">
        <v>2994.72</v>
      </c>
    </row>
    <row r="186" ht="15.75" customHeight="1">
      <c r="A186" s="34">
        <v>45111.0</v>
      </c>
      <c r="B186" s="8">
        <v>87151.0</v>
      </c>
      <c r="C186" s="4">
        <v>1630.0</v>
      </c>
      <c r="D186" s="5">
        <v>1056.47</v>
      </c>
      <c r="E186" s="4">
        <v>23.0</v>
      </c>
      <c r="F186" s="5">
        <v>4236.67</v>
      </c>
    </row>
    <row r="187" ht="15.75" customHeight="1">
      <c r="A187" s="34">
        <v>45112.0</v>
      </c>
      <c r="B187" s="8">
        <v>98061.0</v>
      </c>
      <c r="C187" s="4">
        <v>2963.0</v>
      </c>
      <c r="D187" s="5">
        <v>2823.97</v>
      </c>
      <c r="E187" s="4">
        <v>38.0</v>
      </c>
      <c r="F187" s="5">
        <v>5472.67</v>
      </c>
    </row>
    <row r="188" ht="15.75" customHeight="1">
      <c r="A188" s="34">
        <v>45113.0</v>
      </c>
      <c r="B188" s="8">
        <v>35041.0</v>
      </c>
      <c r="C188" s="4">
        <v>670.0</v>
      </c>
      <c r="D188" s="5">
        <v>639.04</v>
      </c>
      <c r="E188" s="4">
        <v>14.0</v>
      </c>
      <c r="F188" s="5">
        <v>1091.64</v>
      </c>
    </row>
    <row r="189" ht="15.75" customHeight="1">
      <c r="A189" s="34">
        <v>45114.0</v>
      </c>
      <c r="B189" s="8">
        <v>53325.0</v>
      </c>
      <c r="C189" s="4">
        <v>1423.0</v>
      </c>
      <c r="D189" s="5">
        <v>1366.45</v>
      </c>
      <c r="E189" s="4">
        <v>33.0</v>
      </c>
      <c r="F189" s="5">
        <v>5457.74</v>
      </c>
    </row>
    <row r="190" ht="15.75" customHeight="1">
      <c r="A190" s="34">
        <v>45115.0</v>
      </c>
      <c r="B190" s="8">
        <v>83511.0</v>
      </c>
      <c r="C190" s="4">
        <v>1778.0</v>
      </c>
      <c r="D190" s="5">
        <v>2167.73</v>
      </c>
      <c r="E190" s="4">
        <v>39.0</v>
      </c>
      <c r="F190" s="5">
        <v>4187.28</v>
      </c>
    </row>
    <row r="191" ht="15.75" customHeight="1">
      <c r="A191" s="34">
        <v>45116.0</v>
      </c>
      <c r="B191" s="8">
        <v>62704.0</v>
      </c>
      <c r="C191" s="4">
        <v>1101.0</v>
      </c>
      <c r="D191" s="5">
        <v>1220.8</v>
      </c>
      <c r="E191" s="4">
        <v>23.0</v>
      </c>
      <c r="F191" s="5">
        <v>2314.95</v>
      </c>
    </row>
    <row r="192" ht="15.75" customHeight="1">
      <c r="A192" s="34">
        <v>45117.0</v>
      </c>
      <c r="B192" s="8">
        <v>70958.0</v>
      </c>
      <c r="C192" s="4">
        <v>1922.0</v>
      </c>
      <c r="D192" s="5">
        <v>1601.47</v>
      </c>
      <c r="E192" s="4">
        <v>27.0</v>
      </c>
      <c r="F192" s="5">
        <v>3323.93</v>
      </c>
    </row>
    <row r="193" ht="15.75" customHeight="1">
      <c r="A193" s="34">
        <v>45118.0</v>
      </c>
      <c r="B193" s="8">
        <v>118300.0</v>
      </c>
      <c r="C193" s="4">
        <v>1702.0</v>
      </c>
      <c r="D193" s="5">
        <v>1263.53</v>
      </c>
      <c r="E193" s="4">
        <v>27.0</v>
      </c>
      <c r="F193" s="5">
        <v>4747.41</v>
      </c>
    </row>
    <row r="194" ht="15.75" customHeight="1">
      <c r="A194" s="34">
        <v>45119.0</v>
      </c>
      <c r="B194" s="8">
        <v>133558.0</v>
      </c>
      <c r="C194" s="4">
        <v>4320.0</v>
      </c>
      <c r="D194" s="5">
        <v>3005.99</v>
      </c>
      <c r="E194" s="4">
        <v>101.0</v>
      </c>
      <c r="F194" s="5">
        <v>15139.05</v>
      </c>
    </row>
    <row r="195" ht="15.75" customHeight="1">
      <c r="A195" s="34">
        <v>45120.0</v>
      </c>
      <c r="B195" s="8">
        <v>59808.0</v>
      </c>
      <c r="C195" s="4">
        <v>1707.0</v>
      </c>
      <c r="D195" s="5">
        <v>1539.05</v>
      </c>
      <c r="E195" s="4">
        <v>34.0</v>
      </c>
      <c r="F195" s="5">
        <v>6830.07</v>
      </c>
    </row>
    <row r="196" ht="15.75" customHeight="1">
      <c r="A196" s="34">
        <v>45121.0</v>
      </c>
      <c r="B196" s="8">
        <v>83322.0</v>
      </c>
      <c r="C196" s="4">
        <v>1095.0</v>
      </c>
      <c r="D196" s="5">
        <v>1075.7</v>
      </c>
      <c r="E196" s="4">
        <v>21.0</v>
      </c>
      <c r="F196" s="5">
        <v>4084.81</v>
      </c>
    </row>
    <row r="197" ht="15.75" customHeight="1">
      <c r="A197" s="34">
        <v>45122.0</v>
      </c>
      <c r="B197" s="8">
        <v>91293.0</v>
      </c>
      <c r="C197" s="4">
        <v>1763.0</v>
      </c>
      <c r="D197" s="5">
        <v>1952.27</v>
      </c>
      <c r="E197" s="4">
        <v>33.0</v>
      </c>
      <c r="F197" s="5">
        <v>5709.13</v>
      </c>
    </row>
    <row r="198" ht="15.75" customHeight="1">
      <c r="A198" s="34">
        <v>45123.0</v>
      </c>
      <c r="B198" s="8">
        <v>122697.0</v>
      </c>
      <c r="C198" s="4">
        <v>3258.0</v>
      </c>
      <c r="D198" s="5">
        <v>3086.45</v>
      </c>
      <c r="E198" s="4">
        <v>79.0</v>
      </c>
      <c r="F198" s="5">
        <v>10849.88</v>
      </c>
    </row>
    <row r="199" ht="15.75" customHeight="1">
      <c r="A199" s="34">
        <v>45124.0</v>
      </c>
      <c r="B199" s="8">
        <v>71342.0</v>
      </c>
      <c r="C199" s="4">
        <v>1993.0</v>
      </c>
      <c r="D199" s="5">
        <v>1592.56</v>
      </c>
      <c r="E199" s="4">
        <v>32.0</v>
      </c>
      <c r="F199" s="5">
        <v>6044.64</v>
      </c>
    </row>
    <row r="200" ht="15.75" customHeight="1">
      <c r="A200" s="34">
        <v>45125.0</v>
      </c>
      <c r="B200" s="8">
        <v>104737.0</v>
      </c>
      <c r="C200" s="4">
        <v>2532.0</v>
      </c>
      <c r="D200" s="5">
        <v>2643.76</v>
      </c>
      <c r="E200" s="4">
        <v>33.0</v>
      </c>
      <c r="F200" s="5">
        <v>3816.65</v>
      </c>
    </row>
    <row r="201" ht="15.75" customHeight="1">
      <c r="A201" s="34">
        <v>45126.0</v>
      </c>
      <c r="B201" s="8">
        <v>50317.0</v>
      </c>
      <c r="C201" s="4">
        <v>721.0</v>
      </c>
      <c r="D201" s="5">
        <v>461.64</v>
      </c>
      <c r="E201" s="4">
        <v>15.0</v>
      </c>
      <c r="F201" s="5">
        <v>2153.44</v>
      </c>
    </row>
    <row r="202" ht="15.75" customHeight="1">
      <c r="A202" s="34">
        <v>45127.0</v>
      </c>
      <c r="B202" s="8">
        <v>53365.0</v>
      </c>
      <c r="C202" s="4">
        <v>1427.0</v>
      </c>
      <c r="D202" s="5">
        <v>1197.23</v>
      </c>
      <c r="E202" s="4">
        <v>21.0</v>
      </c>
      <c r="F202" s="5">
        <v>3349.52</v>
      </c>
    </row>
    <row r="203" ht="15.75" customHeight="1">
      <c r="A203" s="34">
        <v>45128.0</v>
      </c>
      <c r="B203" s="8">
        <v>42948.0</v>
      </c>
      <c r="C203" s="4">
        <v>413.0</v>
      </c>
      <c r="D203" s="5">
        <v>295.72</v>
      </c>
      <c r="E203" s="4">
        <v>8.0</v>
      </c>
      <c r="F203" s="5">
        <v>1331.56</v>
      </c>
    </row>
    <row r="204" ht="15.75" customHeight="1">
      <c r="A204" s="34">
        <v>45129.0</v>
      </c>
      <c r="B204" s="8">
        <v>42985.0</v>
      </c>
      <c r="C204" s="4">
        <v>563.0</v>
      </c>
      <c r="D204" s="5">
        <v>602.89</v>
      </c>
      <c r="E204" s="4">
        <v>7.0</v>
      </c>
      <c r="F204" s="5">
        <v>918.23</v>
      </c>
    </row>
    <row r="205" ht="15.75" customHeight="1">
      <c r="A205" s="34">
        <v>45130.0</v>
      </c>
      <c r="B205" s="8">
        <v>35500.0</v>
      </c>
      <c r="C205" s="4">
        <v>588.0</v>
      </c>
      <c r="D205" s="5">
        <v>608.85</v>
      </c>
      <c r="E205" s="4">
        <v>10.0</v>
      </c>
      <c r="F205" s="5">
        <v>2406.07</v>
      </c>
    </row>
    <row r="206" ht="15.75" customHeight="1">
      <c r="A206" s="34">
        <v>45131.0</v>
      </c>
      <c r="B206" s="8">
        <v>123451.0</v>
      </c>
      <c r="C206" s="4">
        <v>3020.0</v>
      </c>
      <c r="D206" s="5">
        <v>1825.83</v>
      </c>
      <c r="E206" s="4">
        <v>52.0</v>
      </c>
      <c r="F206" s="5">
        <v>6067.23</v>
      </c>
    </row>
    <row r="207" ht="15.75" customHeight="1">
      <c r="A207" s="34">
        <v>45132.0</v>
      </c>
      <c r="B207" s="8">
        <v>61897.0</v>
      </c>
      <c r="C207" s="4">
        <v>688.0</v>
      </c>
      <c r="D207" s="5">
        <v>441.07</v>
      </c>
      <c r="E207" s="4">
        <v>12.0</v>
      </c>
      <c r="F207" s="5">
        <v>2361.93</v>
      </c>
    </row>
    <row r="208" ht="15.75" customHeight="1">
      <c r="A208" s="34">
        <v>45133.0</v>
      </c>
      <c r="B208" s="8">
        <v>36460.0</v>
      </c>
      <c r="C208" s="4">
        <v>558.0</v>
      </c>
      <c r="D208" s="5">
        <v>437.37</v>
      </c>
      <c r="E208" s="4">
        <v>12.0</v>
      </c>
      <c r="F208" s="5">
        <v>1692.18</v>
      </c>
    </row>
    <row r="209" ht="15.75" customHeight="1">
      <c r="A209" s="34">
        <v>45134.0</v>
      </c>
      <c r="B209" s="8">
        <v>80087.0</v>
      </c>
      <c r="C209" s="4">
        <v>2435.0</v>
      </c>
      <c r="D209" s="5">
        <v>2445.32</v>
      </c>
      <c r="E209" s="4">
        <v>29.0</v>
      </c>
      <c r="F209" s="5">
        <v>4297.98</v>
      </c>
    </row>
    <row r="210" ht="15.75" customHeight="1">
      <c r="A210" s="34">
        <v>45135.0</v>
      </c>
      <c r="B210" s="8">
        <v>124150.0</v>
      </c>
      <c r="C210" s="4">
        <v>1790.0</v>
      </c>
      <c r="D210" s="5">
        <v>1788.11</v>
      </c>
      <c r="E210" s="4">
        <v>32.0</v>
      </c>
      <c r="F210" s="5">
        <v>3656.44</v>
      </c>
    </row>
    <row r="211" ht="15.75" customHeight="1">
      <c r="A211" s="34">
        <v>45136.0</v>
      </c>
      <c r="B211" s="8">
        <v>63716.0</v>
      </c>
      <c r="C211" s="4">
        <v>1513.0</v>
      </c>
      <c r="D211" s="5">
        <v>1140.63</v>
      </c>
      <c r="E211" s="4">
        <v>26.0</v>
      </c>
      <c r="F211" s="5">
        <v>4378.01</v>
      </c>
    </row>
    <row r="212" ht="15.75" customHeight="1">
      <c r="A212" s="34">
        <v>45137.0</v>
      </c>
      <c r="B212" s="8">
        <v>73940.0</v>
      </c>
      <c r="C212" s="4">
        <v>1321.0</v>
      </c>
      <c r="D212" s="5">
        <v>837.51</v>
      </c>
      <c r="E212" s="4">
        <v>22.0</v>
      </c>
      <c r="F212" s="5">
        <v>3614.62</v>
      </c>
    </row>
    <row r="213" ht="15.75" customHeight="1">
      <c r="A213" s="34">
        <v>45138.0</v>
      </c>
      <c r="B213" s="8">
        <v>58487.0</v>
      </c>
      <c r="C213" s="4">
        <v>1347.0</v>
      </c>
      <c r="D213" s="5">
        <v>1423.71</v>
      </c>
      <c r="E213" s="4">
        <v>26.0</v>
      </c>
      <c r="F213" s="5">
        <v>4791.23</v>
      </c>
    </row>
    <row r="214" ht="15.75" customHeight="1">
      <c r="A214" s="34">
        <v>45139.0</v>
      </c>
      <c r="B214" s="8">
        <v>78391.0</v>
      </c>
      <c r="C214" s="4">
        <v>1233.0</v>
      </c>
      <c r="D214" s="5">
        <v>992.72</v>
      </c>
      <c r="E214" s="4">
        <v>20.0</v>
      </c>
      <c r="F214" s="5">
        <v>3464.0</v>
      </c>
    </row>
    <row r="215" ht="15.75" customHeight="1">
      <c r="A215" s="34">
        <v>45140.0</v>
      </c>
      <c r="B215" s="8">
        <v>79773.0</v>
      </c>
      <c r="C215" s="4">
        <v>1333.0</v>
      </c>
      <c r="D215" s="5">
        <v>837.88</v>
      </c>
      <c r="E215" s="4">
        <v>28.0</v>
      </c>
      <c r="F215" s="5">
        <v>3456.58</v>
      </c>
    </row>
    <row r="216" ht="15.75" customHeight="1">
      <c r="A216" s="34">
        <v>45141.0</v>
      </c>
      <c r="B216" s="8">
        <v>106876.0</v>
      </c>
      <c r="C216" s="4">
        <v>3095.0</v>
      </c>
      <c r="D216" s="5">
        <v>2754.85</v>
      </c>
      <c r="E216" s="4">
        <v>66.0</v>
      </c>
      <c r="F216" s="5">
        <v>9349.92</v>
      </c>
    </row>
    <row r="217" ht="15.75" customHeight="1">
      <c r="A217" s="34">
        <v>45142.0</v>
      </c>
      <c r="B217" s="8">
        <v>63485.0</v>
      </c>
      <c r="C217" s="4">
        <v>1252.0</v>
      </c>
      <c r="D217" s="5">
        <v>1093.76</v>
      </c>
      <c r="E217" s="4">
        <v>21.0</v>
      </c>
      <c r="F217" s="5">
        <v>3015.0</v>
      </c>
    </row>
    <row r="218" ht="15.75" customHeight="1">
      <c r="A218" s="34">
        <v>45143.0</v>
      </c>
      <c r="B218" s="8">
        <v>62960.0</v>
      </c>
      <c r="C218" s="4">
        <v>1318.0</v>
      </c>
      <c r="D218" s="5">
        <v>1204.59</v>
      </c>
      <c r="E218" s="4">
        <v>25.0</v>
      </c>
      <c r="F218" s="5">
        <v>3143.29</v>
      </c>
    </row>
    <row r="219" ht="15.75" customHeight="1">
      <c r="A219" s="34">
        <v>45144.0</v>
      </c>
      <c r="B219" s="8">
        <v>75098.0</v>
      </c>
      <c r="C219" s="4">
        <v>962.0</v>
      </c>
      <c r="D219" s="5">
        <v>631.53</v>
      </c>
      <c r="E219" s="4">
        <v>20.0</v>
      </c>
      <c r="F219" s="5">
        <v>3015.93</v>
      </c>
    </row>
    <row r="220" ht="15.75" customHeight="1">
      <c r="A220" s="34">
        <v>45145.0</v>
      </c>
      <c r="B220" s="8">
        <v>95016.0</v>
      </c>
      <c r="C220" s="4">
        <v>3000.0</v>
      </c>
      <c r="D220" s="5">
        <v>3353.01</v>
      </c>
      <c r="E220" s="4">
        <v>71.0</v>
      </c>
      <c r="F220" s="5">
        <v>11712.02</v>
      </c>
    </row>
    <row r="221" ht="15.75" customHeight="1">
      <c r="A221" s="34">
        <v>45146.0</v>
      </c>
      <c r="B221" s="8">
        <v>136482.0</v>
      </c>
      <c r="C221" s="4">
        <v>2572.0</v>
      </c>
      <c r="D221" s="5">
        <v>1731.69</v>
      </c>
      <c r="E221" s="4">
        <v>53.0</v>
      </c>
      <c r="F221" s="5">
        <v>6797.26</v>
      </c>
    </row>
    <row r="222" ht="15.75" customHeight="1">
      <c r="A222" s="34">
        <v>45147.0</v>
      </c>
      <c r="B222" s="8">
        <v>53845.0</v>
      </c>
      <c r="C222" s="4">
        <v>513.0</v>
      </c>
      <c r="D222" s="5">
        <v>410.47</v>
      </c>
      <c r="E222" s="4">
        <v>12.0</v>
      </c>
      <c r="F222" s="5">
        <v>1650.23</v>
      </c>
    </row>
    <row r="223" ht="15.75" customHeight="1">
      <c r="A223" s="34">
        <v>45148.0</v>
      </c>
      <c r="B223" s="8">
        <v>82863.0</v>
      </c>
      <c r="C223" s="4">
        <v>1826.0</v>
      </c>
      <c r="D223" s="5">
        <v>2010.68</v>
      </c>
      <c r="E223" s="4">
        <v>22.0</v>
      </c>
      <c r="F223" s="5">
        <v>3757.5</v>
      </c>
    </row>
    <row r="224" ht="15.75" customHeight="1">
      <c r="A224" s="34">
        <v>45149.0</v>
      </c>
      <c r="B224" s="8">
        <v>118061.0</v>
      </c>
      <c r="C224" s="4">
        <v>1957.0</v>
      </c>
      <c r="D224" s="5">
        <v>1731.65</v>
      </c>
      <c r="E224" s="4">
        <v>43.0</v>
      </c>
      <c r="F224" s="5">
        <v>4804.85</v>
      </c>
    </row>
    <row r="225" ht="15.75" customHeight="1">
      <c r="A225" s="34">
        <v>45150.0</v>
      </c>
      <c r="B225" s="8">
        <v>36428.0</v>
      </c>
      <c r="C225" s="4">
        <v>450.0</v>
      </c>
      <c r="D225" s="5">
        <v>478.49</v>
      </c>
      <c r="E225" s="4">
        <v>8.0</v>
      </c>
      <c r="F225" s="5">
        <v>1880.69</v>
      </c>
    </row>
    <row r="226" ht="15.75" customHeight="1">
      <c r="A226" s="34">
        <v>45151.0</v>
      </c>
      <c r="B226" s="8">
        <v>81998.0</v>
      </c>
      <c r="C226" s="4">
        <v>1113.0</v>
      </c>
      <c r="D226" s="5">
        <v>947.76</v>
      </c>
      <c r="E226" s="4">
        <v>13.0</v>
      </c>
      <c r="F226" s="5">
        <v>1686.58</v>
      </c>
    </row>
    <row r="227" ht="15.75" customHeight="1">
      <c r="A227" s="34">
        <v>45152.0</v>
      </c>
      <c r="B227" s="8">
        <v>131486.0</v>
      </c>
      <c r="C227" s="4">
        <v>3262.0</v>
      </c>
      <c r="D227" s="5">
        <v>2307.4</v>
      </c>
      <c r="E227" s="4">
        <v>60.0</v>
      </c>
      <c r="F227" s="5">
        <v>12465.44</v>
      </c>
    </row>
    <row r="228" ht="15.75" customHeight="1">
      <c r="A228" s="34">
        <v>45153.0</v>
      </c>
      <c r="B228" s="8">
        <v>108326.0</v>
      </c>
      <c r="C228" s="4">
        <v>3327.0</v>
      </c>
      <c r="D228" s="5">
        <v>3132.5</v>
      </c>
      <c r="E228" s="4">
        <v>40.0</v>
      </c>
      <c r="F228" s="5">
        <v>5493.31</v>
      </c>
    </row>
    <row r="229" ht="15.75" customHeight="1">
      <c r="A229" s="34">
        <v>45154.0</v>
      </c>
      <c r="B229" s="8">
        <v>51650.0</v>
      </c>
      <c r="C229" s="4">
        <v>1185.0</v>
      </c>
      <c r="D229" s="5">
        <v>744.77</v>
      </c>
      <c r="E229" s="4">
        <v>13.0</v>
      </c>
      <c r="F229" s="5">
        <v>2355.67</v>
      </c>
    </row>
    <row r="230" ht="15.75" customHeight="1">
      <c r="A230" s="34">
        <v>45155.0</v>
      </c>
      <c r="B230" s="8">
        <v>127407.0</v>
      </c>
      <c r="C230" s="4">
        <v>1895.0</v>
      </c>
      <c r="D230" s="5">
        <v>1978.11</v>
      </c>
      <c r="E230" s="4">
        <v>38.0</v>
      </c>
      <c r="F230" s="5">
        <v>5491.12</v>
      </c>
    </row>
    <row r="231" ht="15.75" customHeight="1">
      <c r="A231" s="34">
        <v>45156.0</v>
      </c>
      <c r="B231" s="8">
        <v>104095.0</v>
      </c>
      <c r="C231" s="4">
        <v>2185.0</v>
      </c>
      <c r="D231" s="5">
        <v>1895.66</v>
      </c>
      <c r="E231" s="4">
        <v>52.0</v>
      </c>
      <c r="F231" s="5">
        <v>7715.95</v>
      </c>
    </row>
    <row r="232" ht="15.75" customHeight="1">
      <c r="A232" s="34">
        <v>45157.0</v>
      </c>
      <c r="B232" s="8">
        <v>29685.0</v>
      </c>
      <c r="C232" s="4">
        <v>408.0</v>
      </c>
      <c r="D232" s="5">
        <v>364.45</v>
      </c>
      <c r="E232" s="4">
        <v>7.0</v>
      </c>
      <c r="F232" s="5">
        <v>1134.44</v>
      </c>
    </row>
    <row r="233" ht="15.75" customHeight="1">
      <c r="A233" s="34">
        <v>45158.0</v>
      </c>
      <c r="B233" s="8">
        <v>31518.0</v>
      </c>
      <c r="C233" s="4">
        <v>450.0</v>
      </c>
      <c r="D233" s="5">
        <v>419.64</v>
      </c>
      <c r="E233" s="4">
        <v>6.0</v>
      </c>
      <c r="F233" s="5">
        <v>986.21</v>
      </c>
    </row>
    <row r="234" ht="15.75" customHeight="1">
      <c r="A234" s="34">
        <v>45159.0</v>
      </c>
      <c r="B234" s="8">
        <v>28027.0</v>
      </c>
      <c r="C234" s="4">
        <v>301.0</v>
      </c>
      <c r="D234" s="5">
        <v>196.14</v>
      </c>
      <c r="E234" s="4">
        <v>3.0</v>
      </c>
      <c r="F234" s="5">
        <v>1098.31</v>
      </c>
    </row>
    <row r="235" ht="15.75" customHeight="1">
      <c r="A235" s="34">
        <v>45160.0</v>
      </c>
      <c r="B235" s="8">
        <v>80583.0</v>
      </c>
      <c r="C235" s="4">
        <v>2191.0</v>
      </c>
      <c r="D235" s="5">
        <v>2112.9</v>
      </c>
      <c r="E235" s="4">
        <v>27.0</v>
      </c>
      <c r="F235" s="5">
        <v>5179.72</v>
      </c>
    </row>
    <row r="236" ht="15.75" customHeight="1">
      <c r="A236" s="34">
        <v>45161.0</v>
      </c>
      <c r="B236" s="8">
        <v>123870.0</v>
      </c>
      <c r="C236" s="4">
        <v>3603.0</v>
      </c>
      <c r="D236" s="5">
        <v>2343.66</v>
      </c>
      <c r="E236" s="4">
        <v>52.0</v>
      </c>
      <c r="F236" s="5">
        <v>9561.78</v>
      </c>
    </row>
    <row r="237" ht="15.75" customHeight="1">
      <c r="A237" s="34">
        <v>45162.0</v>
      </c>
      <c r="B237" s="8">
        <v>44380.0</v>
      </c>
      <c r="C237" s="4">
        <v>1097.0</v>
      </c>
      <c r="D237" s="5">
        <v>814.8</v>
      </c>
      <c r="E237" s="4">
        <v>22.0</v>
      </c>
      <c r="F237" s="5">
        <v>3642.79</v>
      </c>
    </row>
    <row r="238" ht="15.75" customHeight="1">
      <c r="A238" s="34">
        <v>45163.0</v>
      </c>
      <c r="B238" s="8">
        <v>126717.0</v>
      </c>
      <c r="C238" s="4">
        <v>2201.0</v>
      </c>
      <c r="D238" s="5">
        <v>2473.35</v>
      </c>
      <c r="E238" s="4">
        <v>37.0</v>
      </c>
      <c r="F238" s="5">
        <v>7046.63</v>
      </c>
    </row>
    <row r="239" ht="15.75" customHeight="1">
      <c r="A239" s="34">
        <v>45164.0</v>
      </c>
      <c r="B239" s="8">
        <v>109668.0</v>
      </c>
      <c r="C239" s="4">
        <v>1963.0</v>
      </c>
      <c r="D239" s="5">
        <v>1972.17</v>
      </c>
      <c r="E239" s="4">
        <v>38.0</v>
      </c>
      <c r="F239" s="5">
        <v>5973.76</v>
      </c>
    </row>
    <row r="240" ht="15.75" customHeight="1">
      <c r="A240" s="34">
        <v>45165.0</v>
      </c>
      <c r="B240" s="8">
        <v>86333.0</v>
      </c>
      <c r="C240" s="4">
        <v>2253.0</v>
      </c>
      <c r="D240" s="5">
        <v>2224.64</v>
      </c>
      <c r="E240" s="4">
        <v>38.0</v>
      </c>
      <c r="F240" s="5">
        <v>4814.55</v>
      </c>
    </row>
    <row r="241" ht="15.75" customHeight="1">
      <c r="A241" s="34">
        <v>45166.0</v>
      </c>
      <c r="B241" s="8">
        <v>46853.0</v>
      </c>
      <c r="C241" s="4">
        <v>608.0</v>
      </c>
      <c r="D241" s="5">
        <v>594.68</v>
      </c>
      <c r="E241" s="4">
        <v>6.0</v>
      </c>
      <c r="F241" s="5">
        <v>1052.01</v>
      </c>
    </row>
    <row r="242" ht="15.75" customHeight="1">
      <c r="A242" s="34">
        <v>45167.0</v>
      </c>
      <c r="B242" s="8">
        <v>76408.0</v>
      </c>
      <c r="C242" s="4">
        <v>970.0</v>
      </c>
      <c r="D242" s="5">
        <v>813.59</v>
      </c>
      <c r="E242" s="4">
        <v>20.0</v>
      </c>
      <c r="F242" s="5">
        <v>3570.98</v>
      </c>
    </row>
    <row r="243" ht="15.75" customHeight="1">
      <c r="A243" s="34">
        <v>45168.0</v>
      </c>
      <c r="B243" s="8">
        <v>32278.0</v>
      </c>
      <c r="C243" s="4">
        <v>451.0</v>
      </c>
      <c r="D243" s="5">
        <v>515.73</v>
      </c>
      <c r="E243" s="4">
        <v>7.0</v>
      </c>
      <c r="F243" s="5">
        <v>920.6</v>
      </c>
    </row>
    <row r="244" ht="15.75" customHeight="1">
      <c r="A244" s="34">
        <v>45169.0</v>
      </c>
      <c r="B244" s="8">
        <v>100695.0</v>
      </c>
      <c r="C244" s="4">
        <v>2070.0</v>
      </c>
      <c r="D244" s="5">
        <v>1263.49</v>
      </c>
      <c r="E244" s="4">
        <v>32.0</v>
      </c>
      <c r="F244" s="5">
        <v>4749.31</v>
      </c>
    </row>
    <row r="245" ht="15.75" customHeight="1">
      <c r="A245" s="34">
        <v>45170.0</v>
      </c>
      <c r="B245" s="8">
        <v>100011.0</v>
      </c>
      <c r="C245" s="4">
        <v>1627.0</v>
      </c>
      <c r="D245" s="5">
        <v>1962.56</v>
      </c>
      <c r="E245" s="4">
        <v>37.0</v>
      </c>
      <c r="F245" s="5">
        <v>3962.63</v>
      </c>
    </row>
    <row r="246" ht="15.75" customHeight="1">
      <c r="A246" s="34">
        <v>45171.0</v>
      </c>
      <c r="B246" s="8">
        <v>65075.0</v>
      </c>
      <c r="C246" s="4">
        <v>1788.0</v>
      </c>
      <c r="D246" s="5">
        <v>1159.22</v>
      </c>
      <c r="E246" s="4">
        <v>30.0</v>
      </c>
      <c r="F246" s="5">
        <v>3426.17</v>
      </c>
    </row>
    <row r="247" ht="15.75" customHeight="1">
      <c r="A247" s="34">
        <v>45172.0</v>
      </c>
      <c r="B247" s="8">
        <v>32637.0</v>
      </c>
      <c r="C247" s="4">
        <v>732.0</v>
      </c>
      <c r="D247" s="5">
        <v>550.61</v>
      </c>
      <c r="E247" s="4">
        <v>8.0</v>
      </c>
      <c r="F247" s="5">
        <v>1631.32</v>
      </c>
    </row>
    <row r="248" ht="15.75" customHeight="1">
      <c r="A248" s="34">
        <v>45173.0</v>
      </c>
      <c r="B248" s="8">
        <v>104263.0</v>
      </c>
      <c r="C248" s="4">
        <v>3142.0</v>
      </c>
      <c r="D248" s="5">
        <v>2423.4</v>
      </c>
      <c r="E248" s="4">
        <v>63.0</v>
      </c>
      <c r="F248" s="5">
        <v>10436.91</v>
      </c>
    </row>
    <row r="249" ht="15.75" customHeight="1">
      <c r="A249" s="34">
        <v>45174.0</v>
      </c>
      <c r="B249" s="8">
        <v>108045.0</v>
      </c>
      <c r="C249" s="4">
        <v>2276.0</v>
      </c>
      <c r="D249" s="5">
        <v>2448.88</v>
      </c>
      <c r="E249" s="4">
        <v>40.0</v>
      </c>
      <c r="F249" s="5">
        <v>8241.27</v>
      </c>
    </row>
    <row r="250" ht="15.75" customHeight="1">
      <c r="A250" s="34">
        <v>45175.0</v>
      </c>
      <c r="B250" s="8">
        <v>44106.0</v>
      </c>
      <c r="C250" s="4">
        <v>1025.0</v>
      </c>
      <c r="D250" s="5">
        <v>1276.66</v>
      </c>
      <c r="E250" s="4">
        <v>13.0</v>
      </c>
      <c r="F250" s="5">
        <v>2693.37</v>
      </c>
    </row>
    <row r="251" ht="15.75" customHeight="1">
      <c r="A251" s="34">
        <v>45176.0</v>
      </c>
      <c r="B251" s="8">
        <v>26754.0</v>
      </c>
      <c r="C251" s="4">
        <v>256.0</v>
      </c>
      <c r="D251" s="5">
        <v>328.03</v>
      </c>
      <c r="E251" s="4">
        <v>2.0</v>
      </c>
      <c r="F251" s="5">
        <v>492.87</v>
      </c>
    </row>
    <row r="252" ht="15.75" customHeight="1">
      <c r="A252" s="34">
        <v>45177.0</v>
      </c>
      <c r="B252" s="8">
        <v>58728.0</v>
      </c>
      <c r="C252" s="4">
        <v>823.0</v>
      </c>
      <c r="D252" s="5">
        <v>891.52</v>
      </c>
      <c r="E252" s="4">
        <v>18.0</v>
      </c>
      <c r="F252" s="5">
        <v>3030.4</v>
      </c>
    </row>
    <row r="253" ht="15.75" customHeight="1">
      <c r="A253" s="34">
        <v>45178.0</v>
      </c>
      <c r="B253" s="8">
        <v>25992.0</v>
      </c>
      <c r="C253" s="4">
        <v>512.0</v>
      </c>
      <c r="D253" s="5">
        <v>352.81</v>
      </c>
      <c r="E253" s="4">
        <v>6.0</v>
      </c>
      <c r="F253" s="5">
        <v>1093.04</v>
      </c>
    </row>
    <row r="254" ht="15.75" customHeight="1">
      <c r="A254" s="34">
        <v>45179.0</v>
      </c>
      <c r="B254" s="8">
        <v>74003.0</v>
      </c>
      <c r="C254" s="4">
        <v>1516.0</v>
      </c>
      <c r="D254" s="5">
        <v>1759.27</v>
      </c>
      <c r="E254" s="4">
        <v>25.0</v>
      </c>
      <c r="F254" s="5">
        <v>3675.93</v>
      </c>
    </row>
    <row r="255" ht="15.75" customHeight="1">
      <c r="A255" s="34">
        <v>45180.0</v>
      </c>
      <c r="B255" s="8">
        <v>73809.0</v>
      </c>
      <c r="C255" s="4">
        <v>785.0</v>
      </c>
      <c r="D255" s="5">
        <v>880.02</v>
      </c>
      <c r="E255" s="4">
        <v>18.0</v>
      </c>
      <c r="F255" s="5">
        <v>3624.4</v>
      </c>
    </row>
    <row r="256" ht="15.75" customHeight="1">
      <c r="A256" s="34">
        <v>45181.0</v>
      </c>
      <c r="B256" s="8">
        <v>64573.0</v>
      </c>
      <c r="C256" s="4">
        <v>973.0</v>
      </c>
      <c r="D256" s="5">
        <v>889.86</v>
      </c>
      <c r="E256" s="4">
        <v>15.0</v>
      </c>
      <c r="F256" s="5">
        <v>2952.76</v>
      </c>
    </row>
    <row r="257" ht="15.75" customHeight="1">
      <c r="A257" s="34">
        <v>45182.0</v>
      </c>
      <c r="B257" s="8">
        <v>105448.0</v>
      </c>
      <c r="C257" s="4">
        <v>1912.0</v>
      </c>
      <c r="D257" s="5">
        <v>1338.78</v>
      </c>
      <c r="E257" s="4">
        <v>43.0</v>
      </c>
      <c r="F257" s="5">
        <v>7053.03</v>
      </c>
    </row>
    <row r="258" ht="15.75" customHeight="1">
      <c r="A258" s="34">
        <v>45183.0</v>
      </c>
      <c r="B258" s="8">
        <v>90377.0</v>
      </c>
      <c r="C258" s="4">
        <v>2078.0</v>
      </c>
      <c r="D258" s="5">
        <v>1644.14</v>
      </c>
      <c r="E258" s="4">
        <v>47.0</v>
      </c>
      <c r="F258" s="5">
        <v>9136.22</v>
      </c>
    </row>
    <row r="259" ht="15.75" customHeight="1">
      <c r="A259" s="34">
        <v>45184.0</v>
      </c>
      <c r="B259" s="8">
        <v>65111.0</v>
      </c>
      <c r="C259" s="4">
        <v>688.0</v>
      </c>
      <c r="D259" s="5">
        <v>751.04</v>
      </c>
      <c r="E259" s="4">
        <v>10.0</v>
      </c>
      <c r="F259" s="5">
        <v>1418.9</v>
      </c>
    </row>
    <row r="260" ht="15.75" customHeight="1">
      <c r="A260" s="34">
        <v>45185.0</v>
      </c>
      <c r="B260" s="8">
        <v>65312.0</v>
      </c>
      <c r="C260" s="4">
        <v>1755.0</v>
      </c>
      <c r="D260" s="5">
        <v>1991.36</v>
      </c>
      <c r="E260" s="4">
        <v>25.0</v>
      </c>
      <c r="F260" s="5">
        <v>4184.32</v>
      </c>
    </row>
    <row r="261" ht="15.75" customHeight="1">
      <c r="A261" s="34">
        <v>45186.0</v>
      </c>
      <c r="B261" s="8">
        <v>44826.0</v>
      </c>
      <c r="C261" s="4">
        <v>718.0</v>
      </c>
      <c r="D261" s="5">
        <v>819.73</v>
      </c>
      <c r="E261" s="4">
        <v>13.0</v>
      </c>
      <c r="F261" s="5">
        <v>1732.79</v>
      </c>
    </row>
    <row r="262" ht="15.75" customHeight="1">
      <c r="A262" s="34">
        <v>45187.0</v>
      </c>
      <c r="B262" s="8">
        <v>23292.0</v>
      </c>
      <c r="C262" s="4">
        <v>217.0</v>
      </c>
      <c r="D262" s="5">
        <v>239.75</v>
      </c>
      <c r="E262" s="4">
        <v>3.0</v>
      </c>
      <c r="F262" s="5">
        <v>732.2</v>
      </c>
    </row>
    <row r="263" ht="15.75" customHeight="1">
      <c r="A263" s="34">
        <v>45188.0</v>
      </c>
      <c r="B263" s="8">
        <v>25897.0</v>
      </c>
      <c r="C263" s="4">
        <v>187.0</v>
      </c>
      <c r="D263" s="5">
        <v>216.11</v>
      </c>
      <c r="E263" s="4">
        <v>2.0</v>
      </c>
      <c r="F263" s="5">
        <v>310.75</v>
      </c>
    </row>
    <row r="264" ht="15.75" customHeight="1">
      <c r="A264" s="34">
        <v>45189.0</v>
      </c>
      <c r="B264" s="8">
        <v>22295.0</v>
      </c>
      <c r="C264" s="4">
        <v>188.0</v>
      </c>
      <c r="D264" s="5">
        <v>236.33</v>
      </c>
      <c r="E264" s="4">
        <v>3.0</v>
      </c>
      <c r="F264" s="5">
        <v>535.05</v>
      </c>
    </row>
    <row r="265" ht="15.75" customHeight="1">
      <c r="A265" s="34">
        <v>45190.0</v>
      </c>
      <c r="B265" s="8">
        <v>103519.0</v>
      </c>
      <c r="C265" s="4">
        <v>1753.0</v>
      </c>
      <c r="D265" s="5">
        <v>1511.91</v>
      </c>
      <c r="E265" s="4">
        <v>31.0</v>
      </c>
      <c r="F265" s="5">
        <v>5273.36</v>
      </c>
    </row>
    <row r="266" ht="15.75" customHeight="1">
      <c r="A266" s="34">
        <v>45191.0</v>
      </c>
      <c r="B266" s="8">
        <v>91693.0</v>
      </c>
      <c r="C266" s="4">
        <v>1990.0</v>
      </c>
      <c r="D266" s="5">
        <v>2566.27</v>
      </c>
      <c r="E266" s="4">
        <v>38.0</v>
      </c>
      <c r="F266" s="5">
        <v>7407.95</v>
      </c>
    </row>
    <row r="267" ht="15.75" customHeight="1">
      <c r="A267" s="34">
        <v>45192.0</v>
      </c>
      <c r="B267" s="8">
        <v>33949.0</v>
      </c>
      <c r="C267" s="4">
        <v>836.0</v>
      </c>
      <c r="D267" s="5">
        <v>867.6</v>
      </c>
      <c r="E267" s="4">
        <v>12.0</v>
      </c>
      <c r="F267" s="5">
        <v>2580.04</v>
      </c>
    </row>
    <row r="268" ht="15.75" customHeight="1">
      <c r="A268" s="34">
        <v>45193.0</v>
      </c>
      <c r="B268" s="8">
        <v>66955.0</v>
      </c>
      <c r="C268" s="4">
        <v>2018.0</v>
      </c>
      <c r="D268" s="5">
        <v>1583.04</v>
      </c>
      <c r="E268" s="4">
        <v>47.0</v>
      </c>
      <c r="F268" s="5">
        <v>5233.2</v>
      </c>
    </row>
    <row r="269" ht="15.75" customHeight="1">
      <c r="A269" s="34">
        <v>45194.0</v>
      </c>
      <c r="B269" s="8">
        <v>77793.0</v>
      </c>
      <c r="C269" s="4">
        <v>1090.0</v>
      </c>
      <c r="D269" s="5">
        <v>1293.68</v>
      </c>
      <c r="E269" s="4">
        <v>16.0</v>
      </c>
      <c r="F269" s="5">
        <v>1886.12</v>
      </c>
    </row>
    <row r="270" ht="15.75" customHeight="1">
      <c r="A270" s="34">
        <v>45195.0</v>
      </c>
      <c r="B270" s="8">
        <v>83943.0</v>
      </c>
      <c r="C270" s="4">
        <v>2018.0</v>
      </c>
      <c r="D270" s="5">
        <v>1936.89</v>
      </c>
      <c r="E270" s="4">
        <v>47.0</v>
      </c>
      <c r="F270" s="5">
        <v>8530.84</v>
      </c>
    </row>
    <row r="271" ht="15.75" customHeight="1">
      <c r="A271" s="34">
        <v>45196.0</v>
      </c>
      <c r="B271" s="8">
        <v>52154.0</v>
      </c>
      <c r="C271" s="4">
        <v>825.0</v>
      </c>
      <c r="D271" s="5">
        <v>700.8</v>
      </c>
      <c r="E271" s="4">
        <v>17.0</v>
      </c>
      <c r="F271" s="5">
        <v>3291.65</v>
      </c>
    </row>
    <row r="272" ht="15.75" customHeight="1">
      <c r="A272" s="34">
        <v>45197.0</v>
      </c>
      <c r="B272" s="8">
        <v>25507.0</v>
      </c>
      <c r="C272" s="4">
        <v>290.0</v>
      </c>
      <c r="D272" s="5">
        <v>218.38</v>
      </c>
      <c r="E272" s="4">
        <v>6.0</v>
      </c>
      <c r="F272" s="5">
        <v>791.68</v>
      </c>
    </row>
    <row r="273" ht="15.75" customHeight="1">
      <c r="A273" s="34">
        <v>45198.0</v>
      </c>
      <c r="B273" s="8">
        <v>37642.0</v>
      </c>
      <c r="C273" s="4">
        <v>950.0</v>
      </c>
      <c r="D273" s="5">
        <v>855.96</v>
      </c>
      <c r="E273" s="4">
        <v>12.0</v>
      </c>
      <c r="F273" s="5">
        <v>1576.37</v>
      </c>
    </row>
    <row r="274" ht="15.75" customHeight="1">
      <c r="A274" s="34">
        <v>45199.0</v>
      </c>
      <c r="B274" s="8">
        <v>51558.0</v>
      </c>
      <c r="C274" s="4">
        <v>1336.0</v>
      </c>
      <c r="D274" s="5">
        <v>1299.01</v>
      </c>
      <c r="E274" s="4">
        <v>22.0</v>
      </c>
      <c r="F274" s="5">
        <v>2513.82</v>
      </c>
    </row>
    <row r="275" ht="15.75" customHeight="1">
      <c r="A275" s="34">
        <v>45200.0</v>
      </c>
      <c r="B275" s="8">
        <v>72639.0</v>
      </c>
      <c r="C275" s="4">
        <v>2012.0</v>
      </c>
      <c r="D275" s="5">
        <v>2074.24</v>
      </c>
      <c r="E275" s="4">
        <v>41.0</v>
      </c>
      <c r="F275" s="5">
        <v>6984.62</v>
      </c>
    </row>
    <row r="276" ht="15.75" customHeight="1">
      <c r="A276" s="34">
        <v>45201.0</v>
      </c>
      <c r="B276" s="8">
        <v>89631.0</v>
      </c>
      <c r="C276" s="4">
        <v>2818.0</v>
      </c>
      <c r="D276" s="5">
        <v>2777.57</v>
      </c>
      <c r="E276" s="4">
        <v>61.0</v>
      </c>
      <c r="F276" s="5">
        <v>6419.14</v>
      </c>
    </row>
    <row r="277" ht="15.75" customHeight="1">
      <c r="A277" s="34">
        <v>45202.0</v>
      </c>
      <c r="B277" s="8">
        <v>103050.0</v>
      </c>
      <c r="C277" s="4">
        <v>2301.0</v>
      </c>
      <c r="D277" s="5">
        <v>1521.69</v>
      </c>
      <c r="E277" s="4">
        <v>48.0</v>
      </c>
      <c r="F277" s="5">
        <v>8612.73</v>
      </c>
    </row>
    <row r="278" ht="15.75" customHeight="1">
      <c r="A278" s="34">
        <v>45203.0</v>
      </c>
      <c r="B278" s="8">
        <v>98198.0</v>
      </c>
      <c r="C278" s="4">
        <v>2013.0</v>
      </c>
      <c r="D278" s="5">
        <v>1880.16</v>
      </c>
      <c r="E278" s="4">
        <v>46.0</v>
      </c>
      <c r="F278" s="5">
        <v>9194.06</v>
      </c>
    </row>
    <row r="279" ht="15.75" customHeight="1">
      <c r="A279" s="34">
        <v>45204.0</v>
      </c>
      <c r="B279" s="8">
        <v>59679.0</v>
      </c>
      <c r="C279" s="4">
        <v>967.0</v>
      </c>
      <c r="D279" s="5">
        <v>965.79</v>
      </c>
      <c r="E279" s="4">
        <v>20.0</v>
      </c>
      <c r="F279" s="5">
        <v>2690.21</v>
      </c>
    </row>
    <row r="280" ht="15.75" customHeight="1">
      <c r="A280" s="34">
        <v>45205.0</v>
      </c>
      <c r="B280" s="8">
        <v>65353.0</v>
      </c>
      <c r="C280" s="4">
        <v>1616.0</v>
      </c>
      <c r="D280" s="5">
        <v>1989.93</v>
      </c>
      <c r="E280" s="4">
        <v>27.0</v>
      </c>
      <c r="F280" s="5">
        <v>5260.89</v>
      </c>
    </row>
    <row r="281" ht="15.75" customHeight="1">
      <c r="A281" s="34">
        <v>45206.0</v>
      </c>
      <c r="B281" s="8">
        <v>28900.0</v>
      </c>
      <c r="C281" s="4">
        <v>493.0</v>
      </c>
      <c r="D281" s="5">
        <v>371.59</v>
      </c>
      <c r="E281" s="4">
        <v>6.0</v>
      </c>
      <c r="F281" s="5">
        <v>1203.18</v>
      </c>
    </row>
    <row r="282" ht="15.75" customHeight="1">
      <c r="A282" s="34">
        <v>45207.0</v>
      </c>
      <c r="B282" s="8">
        <v>95404.0</v>
      </c>
      <c r="C282" s="4">
        <v>2380.0</v>
      </c>
      <c r="D282" s="5">
        <v>2854.04</v>
      </c>
      <c r="E282" s="4">
        <v>50.0</v>
      </c>
      <c r="F282" s="5">
        <v>6521.34</v>
      </c>
    </row>
    <row r="283" ht="15.75" customHeight="1">
      <c r="A283" s="34">
        <v>45208.0</v>
      </c>
      <c r="B283" s="8">
        <v>77427.0</v>
      </c>
      <c r="C283" s="4">
        <v>1452.0</v>
      </c>
      <c r="D283" s="5">
        <v>1186.25</v>
      </c>
      <c r="E283" s="4">
        <v>17.0</v>
      </c>
      <c r="F283" s="5">
        <v>3069.21</v>
      </c>
    </row>
    <row r="284" ht="15.75" customHeight="1">
      <c r="A284" s="34">
        <v>45209.0</v>
      </c>
      <c r="B284" s="8">
        <v>97491.0</v>
      </c>
      <c r="C284" s="4">
        <v>1860.0</v>
      </c>
      <c r="D284" s="5">
        <v>1434.87</v>
      </c>
      <c r="E284" s="4">
        <v>45.0</v>
      </c>
      <c r="F284" s="5">
        <v>5789.75</v>
      </c>
    </row>
    <row r="285" ht="15.75" customHeight="1">
      <c r="A285" s="34">
        <v>45210.0</v>
      </c>
      <c r="B285" s="8">
        <v>75791.0</v>
      </c>
      <c r="C285" s="4">
        <v>1342.0</v>
      </c>
      <c r="D285" s="5">
        <v>1166.06</v>
      </c>
      <c r="E285" s="4">
        <v>22.0</v>
      </c>
      <c r="F285" s="5">
        <v>3146.0</v>
      </c>
    </row>
    <row r="286" ht="15.75" customHeight="1">
      <c r="A286" s="34">
        <v>45211.0</v>
      </c>
      <c r="B286" s="8">
        <v>30377.0</v>
      </c>
      <c r="C286" s="4">
        <v>342.0</v>
      </c>
      <c r="D286" s="5">
        <v>228.72</v>
      </c>
      <c r="E286" s="4">
        <v>3.0</v>
      </c>
      <c r="F286" s="5">
        <v>621.12</v>
      </c>
    </row>
    <row r="287" ht="15.75" customHeight="1">
      <c r="A287" s="34">
        <v>45212.0</v>
      </c>
      <c r="B287" s="8">
        <v>98818.0</v>
      </c>
      <c r="C287" s="4">
        <v>3135.0</v>
      </c>
      <c r="D287" s="5">
        <v>2194.05</v>
      </c>
      <c r="E287" s="4">
        <v>61.0</v>
      </c>
      <c r="F287" s="5">
        <v>7673.73</v>
      </c>
    </row>
    <row r="288" ht="15.75" customHeight="1">
      <c r="A288" s="34">
        <v>45213.0</v>
      </c>
      <c r="B288" s="8">
        <v>44476.0</v>
      </c>
      <c r="C288" s="4">
        <v>1091.0</v>
      </c>
      <c r="D288" s="5">
        <v>1082.16</v>
      </c>
      <c r="E288" s="4">
        <v>20.0</v>
      </c>
      <c r="F288" s="5">
        <v>2939.21</v>
      </c>
    </row>
    <row r="289" ht="15.75" customHeight="1">
      <c r="A289" s="34">
        <v>45214.0</v>
      </c>
      <c r="B289" s="8">
        <v>67484.0</v>
      </c>
      <c r="C289" s="4">
        <v>1417.0</v>
      </c>
      <c r="D289" s="5">
        <v>1442.77</v>
      </c>
      <c r="E289" s="4">
        <v>30.0</v>
      </c>
      <c r="F289" s="5">
        <v>5159.26</v>
      </c>
    </row>
    <row r="290" ht="15.75" customHeight="1">
      <c r="A290" s="34">
        <v>45215.0</v>
      </c>
      <c r="B290" s="8">
        <v>65271.0</v>
      </c>
      <c r="C290" s="4">
        <v>1076.0</v>
      </c>
      <c r="D290" s="5">
        <v>767.99</v>
      </c>
      <c r="E290" s="4">
        <v>18.0</v>
      </c>
      <c r="F290" s="5">
        <v>3100.72</v>
      </c>
    </row>
    <row r="291" ht="15.75" customHeight="1">
      <c r="A291" s="34">
        <v>45216.0</v>
      </c>
      <c r="B291" s="8">
        <v>53582.0</v>
      </c>
      <c r="C291" s="4">
        <v>902.0</v>
      </c>
      <c r="D291" s="5">
        <v>1059.56</v>
      </c>
      <c r="E291" s="4">
        <v>13.0</v>
      </c>
      <c r="F291" s="5">
        <v>1551.3</v>
      </c>
    </row>
    <row r="292" ht="15.75" customHeight="1">
      <c r="A292" s="34">
        <v>45217.0</v>
      </c>
      <c r="B292" s="8">
        <v>34245.0</v>
      </c>
      <c r="C292" s="4">
        <v>393.0</v>
      </c>
      <c r="D292" s="5">
        <v>358.2</v>
      </c>
      <c r="E292" s="4">
        <v>8.0</v>
      </c>
      <c r="F292" s="5">
        <v>1241.98</v>
      </c>
    </row>
    <row r="293" ht="15.75" customHeight="1">
      <c r="A293" s="34">
        <v>45218.0</v>
      </c>
      <c r="B293" s="8">
        <v>26526.0</v>
      </c>
      <c r="C293" s="4">
        <v>293.0</v>
      </c>
      <c r="D293" s="5">
        <v>277.11</v>
      </c>
      <c r="E293" s="4">
        <v>3.0</v>
      </c>
      <c r="F293" s="5">
        <v>754.84</v>
      </c>
    </row>
    <row r="294" ht="15.75" customHeight="1">
      <c r="A294" s="34">
        <v>45219.0</v>
      </c>
      <c r="B294" s="8">
        <v>93961.0</v>
      </c>
      <c r="C294" s="4">
        <v>2282.0</v>
      </c>
      <c r="D294" s="5">
        <v>1642.49</v>
      </c>
      <c r="E294" s="4">
        <v>45.0</v>
      </c>
      <c r="F294" s="5">
        <v>6439.52</v>
      </c>
    </row>
    <row r="295" ht="15.75" customHeight="1">
      <c r="A295" s="34">
        <v>45220.0</v>
      </c>
      <c r="B295" s="8">
        <v>96368.0</v>
      </c>
      <c r="C295" s="4">
        <v>2486.0</v>
      </c>
      <c r="D295" s="5">
        <v>2320.71</v>
      </c>
      <c r="E295" s="4">
        <v>46.0</v>
      </c>
      <c r="F295" s="5">
        <v>4697.27</v>
      </c>
    </row>
    <row r="296" ht="15.75" customHeight="1">
      <c r="A296" s="34">
        <v>45221.0</v>
      </c>
      <c r="B296" s="8">
        <v>70108.0</v>
      </c>
      <c r="C296" s="4">
        <v>1152.0</v>
      </c>
      <c r="D296" s="5">
        <v>1015.93</v>
      </c>
      <c r="E296" s="4">
        <v>17.0</v>
      </c>
      <c r="F296" s="5">
        <v>2008.99</v>
      </c>
    </row>
    <row r="297" ht="15.75" customHeight="1">
      <c r="A297" s="34">
        <v>45222.0</v>
      </c>
      <c r="B297" s="8">
        <v>69818.0</v>
      </c>
      <c r="C297" s="4">
        <v>1086.0</v>
      </c>
      <c r="D297" s="5">
        <v>704.21</v>
      </c>
      <c r="E297" s="4">
        <v>22.0</v>
      </c>
      <c r="F297" s="5">
        <v>4179.21</v>
      </c>
    </row>
    <row r="298" ht="15.75" customHeight="1">
      <c r="A298" s="34">
        <v>45223.0</v>
      </c>
      <c r="B298" s="8">
        <v>29258.0</v>
      </c>
      <c r="C298" s="4">
        <v>662.0</v>
      </c>
      <c r="D298" s="5">
        <v>498.73</v>
      </c>
      <c r="E298" s="4">
        <v>13.0</v>
      </c>
      <c r="F298" s="5">
        <v>1877.4</v>
      </c>
    </row>
    <row r="299" ht="15.75" customHeight="1">
      <c r="A299" s="34">
        <v>45224.0</v>
      </c>
      <c r="B299" s="8">
        <v>92330.0</v>
      </c>
      <c r="C299" s="4">
        <v>1516.0</v>
      </c>
      <c r="D299" s="5">
        <v>1454.9</v>
      </c>
      <c r="E299" s="4">
        <v>33.0</v>
      </c>
      <c r="F299" s="5">
        <v>3822.8</v>
      </c>
    </row>
    <row r="300" ht="15.75" customHeight="1">
      <c r="A300" s="34">
        <v>45225.0</v>
      </c>
      <c r="B300" s="8">
        <v>30112.0</v>
      </c>
      <c r="C300" s="4">
        <v>581.0</v>
      </c>
      <c r="D300" s="5">
        <v>377.41</v>
      </c>
      <c r="E300" s="4">
        <v>10.0</v>
      </c>
      <c r="F300" s="5">
        <v>1797.11</v>
      </c>
    </row>
    <row r="301" ht="15.75" customHeight="1">
      <c r="A301" s="34">
        <v>45226.0</v>
      </c>
      <c r="B301" s="8">
        <v>61405.0</v>
      </c>
      <c r="C301" s="4">
        <v>1120.0</v>
      </c>
      <c r="D301" s="5">
        <v>740.5</v>
      </c>
      <c r="E301" s="4">
        <v>18.0</v>
      </c>
      <c r="F301" s="5">
        <v>3333.69</v>
      </c>
    </row>
    <row r="302" ht="15.75" customHeight="1">
      <c r="A302" s="34">
        <v>45227.0</v>
      </c>
      <c r="B302" s="8">
        <v>66734.0</v>
      </c>
      <c r="C302" s="4">
        <v>1235.0</v>
      </c>
      <c r="D302" s="5">
        <v>952.72</v>
      </c>
      <c r="E302" s="4">
        <v>26.0</v>
      </c>
      <c r="F302" s="5">
        <v>3851.56</v>
      </c>
    </row>
    <row r="303" ht="15.75" customHeight="1">
      <c r="A303" s="34">
        <v>45228.0</v>
      </c>
      <c r="B303" s="8">
        <v>109285.0</v>
      </c>
      <c r="C303" s="4">
        <v>2335.0</v>
      </c>
      <c r="D303" s="5">
        <v>2512.33</v>
      </c>
      <c r="E303" s="4">
        <v>38.0</v>
      </c>
      <c r="F303" s="5">
        <v>5272.79</v>
      </c>
    </row>
    <row r="304" ht="15.75" customHeight="1">
      <c r="A304" s="34">
        <v>45229.0</v>
      </c>
      <c r="B304" s="8">
        <v>76396.0</v>
      </c>
      <c r="C304" s="4">
        <v>1498.0</v>
      </c>
      <c r="D304" s="5">
        <v>1214.29</v>
      </c>
      <c r="E304" s="4">
        <v>27.0</v>
      </c>
      <c r="F304" s="5">
        <v>5242.14</v>
      </c>
    </row>
    <row r="305" ht="15.75" customHeight="1">
      <c r="A305" s="34">
        <v>45230.0</v>
      </c>
      <c r="B305" s="8">
        <v>58812.0</v>
      </c>
      <c r="C305" s="4">
        <v>1753.0</v>
      </c>
      <c r="D305" s="5">
        <v>1501.05</v>
      </c>
      <c r="E305" s="4">
        <v>37.0</v>
      </c>
      <c r="F305" s="5">
        <v>4912.44</v>
      </c>
    </row>
    <row r="306" ht="15.75" customHeight="1">
      <c r="A306" s="34">
        <v>45231.0</v>
      </c>
      <c r="B306" s="8">
        <v>27058.0</v>
      </c>
      <c r="C306" s="4">
        <v>567.0</v>
      </c>
      <c r="D306" s="5">
        <v>589.36</v>
      </c>
      <c r="E306" s="4">
        <v>10.0</v>
      </c>
      <c r="F306" s="5">
        <v>1801.05</v>
      </c>
    </row>
    <row r="307" ht="15.75" customHeight="1">
      <c r="A307" s="34">
        <v>45232.0</v>
      </c>
      <c r="B307" s="8">
        <v>108743.0</v>
      </c>
      <c r="C307" s="4">
        <v>2346.0</v>
      </c>
      <c r="D307" s="5">
        <v>1840.55</v>
      </c>
      <c r="E307" s="4">
        <v>32.0</v>
      </c>
      <c r="F307" s="5">
        <v>5825.34</v>
      </c>
    </row>
    <row r="308" ht="15.75" customHeight="1">
      <c r="A308" s="34">
        <v>45233.0</v>
      </c>
      <c r="B308" s="8">
        <v>24395.0</v>
      </c>
      <c r="C308" s="4">
        <v>276.0</v>
      </c>
      <c r="D308" s="5">
        <v>300.24</v>
      </c>
      <c r="E308" s="4">
        <v>5.0</v>
      </c>
      <c r="F308" s="5">
        <v>961.37</v>
      </c>
    </row>
    <row r="309" ht="15.75" customHeight="1">
      <c r="A309" s="34">
        <v>45234.0</v>
      </c>
      <c r="B309" s="8">
        <v>23486.0</v>
      </c>
      <c r="C309" s="4">
        <v>287.0</v>
      </c>
      <c r="D309" s="5">
        <v>369.44</v>
      </c>
      <c r="E309" s="4">
        <v>5.0</v>
      </c>
      <c r="F309" s="5">
        <v>693.15</v>
      </c>
    </row>
    <row r="310" ht="15.75" customHeight="1">
      <c r="A310" s="34">
        <v>45235.0</v>
      </c>
      <c r="B310" s="8">
        <v>30779.0</v>
      </c>
      <c r="C310" s="4">
        <v>616.0</v>
      </c>
      <c r="D310" s="5">
        <v>559.53</v>
      </c>
      <c r="E310" s="4">
        <v>13.0</v>
      </c>
      <c r="F310" s="5">
        <v>2035.61</v>
      </c>
    </row>
    <row r="311" ht="15.75" customHeight="1">
      <c r="A311" s="34">
        <v>45236.0</v>
      </c>
      <c r="B311" s="8">
        <v>98536.0</v>
      </c>
      <c r="C311" s="4">
        <v>3262.0</v>
      </c>
      <c r="D311" s="5">
        <v>2198.97</v>
      </c>
      <c r="E311" s="4">
        <v>73.0</v>
      </c>
      <c r="F311" s="5">
        <v>13925.0</v>
      </c>
    </row>
    <row r="312" ht="15.75" customHeight="1">
      <c r="A312" s="34">
        <v>45237.0</v>
      </c>
      <c r="B312" s="8">
        <v>47482.0</v>
      </c>
      <c r="C312" s="4">
        <v>867.0</v>
      </c>
      <c r="D312" s="5">
        <v>973.65</v>
      </c>
      <c r="E312" s="4">
        <v>15.0</v>
      </c>
      <c r="F312" s="5">
        <v>2047.99</v>
      </c>
    </row>
    <row r="313" ht="15.75" customHeight="1">
      <c r="A313" s="34">
        <v>45238.0</v>
      </c>
      <c r="B313" s="8">
        <v>105647.0</v>
      </c>
      <c r="C313" s="4">
        <v>2713.0</v>
      </c>
      <c r="D313" s="5">
        <v>2023.1</v>
      </c>
      <c r="E313" s="4">
        <v>65.0</v>
      </c>
      <c r="F313" s="5">
        <v>11253.62</v>
      </c>
    </row>
    <row r="314" ht="15.75" customHeight="1">
      <c r="A314" s="34">
        <v>45239.0</v>
      </c>
      <c r="B314" s="8">
        <v>79857.0</v>
      </c>
      <c r="C314" s="4">
        <v>2043.0</v>
      </c>
      <c r="D314" s="5">
        <v>1986.94</v>
      </c>
      <c r="E314" s="4">
        <v>48.0</v>
      </c>
      <c r="F314" s="5">
        <v>8158.94</v>
      </c>
    </row>
    <row r="315" ht="15.75" customHeight="1">
      <c r="A315" s="34">
        <v>45240.0</v>
      </c>
      <c r="B315" s="8">
        <v>31741.0</v>
      </c>
      <c r="C315" s="4">
        <v>626.0</v>
      </c>
      <c r="D315" s="5">
        <v>434.36</v>
      </c>
      <c r="E315" s="4">
        <v>12.0</v>
      </c>
      <c r="F315" s="5">
        <v>1963.98</v>
      </c>
    </row>
    <row r="316" ht="15.75" customHeight="1">
      <c r="A316" s="34">
        <v>45241.0</v>
      </c>
      <c r="B316" s="8">
        <v>46717.0</v>
      </c>
      <c r="C316" s="4">
        <v>522.0</v>
      </c>
      <c r="D316" s="5">
        <v>339.1</v>
      </c>
      <c r="E316" s="4">
        <v>12.0</v>
      </c>
      <c r="F316" s="5">
        <v>1652.11</v>
      </c>
    </row>
    <row r="317" ht="15.75" customHeight="1">
      <c r="A317" s="34">
        <v>45242.0</v>
      </c>
      <c r="B317" s="8">
        <v>64915.0</v>
      </c>
      <c r="C317" s="4">
        <v>910.0</v>
      </c>
      <c r="D317" s="5">
        <v>1126.45</v>
      </c>
      <c r="E317" s="4">
        <v>18.0</v>
      </c>
      <c r="F317" s="5">
        <v>3725.55</v>
      </c>
    </row>
    <row r="318" ht="15.75" customHeight="1">
      <c r="A318" s="34">
        <v>45243.0</v>
      </c>
      <c r="B318" s="8">
        <v>105117.0</v>
      </c>
      <c r="C318" s="4">
        <v>2991.0</v>
      </c>
      <c r="D318" s="5">
        <v>2190.92</v>
      </c>
      <c r="E318" s="4">
        <v>37.0</v>
      </c>
      <c r="F318" s="5">
        <v>4284.37</v>
      </c>
    </row>
    <row r="319" ht="15.75" customHeight="1">
      <c r="A319" s="34">
        <v>45244.0</v>
      </c>
      <c r="B319" s="8">
        <v>87799.0</v>
      </c>
      <c r="C319" s="4">
        <v>1583.0</v>
      </c>
      <c r="D319" s="5">
        <v>1663.36</v>
      </c>
      <c r="E319" s="4">
        <v>23.0</v>
      </c>
      <c r="F319" s="5">
        <v>3421.44</v>
      </c>
    </row>
    <row r="320" ht="15.75" customHeight="1">
      <c r="A320" s="34">
        <v>45245.0</v>
      </c>
      <c r="B320" s="8">
        <v>79908.0</v>
      </c>
      <c r="C320" s="4">
        <v>1465.0</v>
      </c>
      <c r="D320" s="5">
        <v>1082.99</v>
      </c>
      <c r="E320" s="4">
        <v>22.0</v>
      </c>
      <c r="F320" s="5">
        <v>2733.31</v>
      </c>
    </row>
    <row r="321" ht="15.75" customHeight="1">
      <c r="A321" s="34">
        <v>45246.0</v>
      </c>
      <c r="B321" s="8">
        <v>66547.0</v>
      </c>
      <c r="C321" s="4">
        <v>707.0</v>
      </c>
      <c r="D321" s="5">
        <v>587.64</v>
      </c>
      <c r="E321" s="4">
        <v>15.0</v>
      </c>
      <c r="F321" s="5">
        <v>1974.89</v>
      </c>
    </row>
    <row r="322" ht="15.75" customHeight="1">
      <c r="A322" s="34">
        <v>45247.0</v>
      </c>
      <c r="B322" s="8">
        <v>81903.0</v>
      </c>
      <c r="C322" s="4">
        <v>2533.0</v>
      </c>
      <c r="D322" s="5">
        <v>2052.8</v>
      </c>
      <c r="E322" s="4">
        <v>62.0</v>
      </c>
      <c r="F322" s="5">
        <v>8582.24</v>
      </c>
    </row>
    <row r="323" ht="15.75" customHeight="1">
      <c r="A323" s="34">
        <v>45248.0</v>
      </c>
      <c r="B323" s="8">
        <v>84393.0</v>
      </c>
      <c r="C323" s="4">
        <v>1305.0</v>
      </c>
      <c r="D323" s="5">
        <v>1285.39</v>
      </c>
      <c r="E323" s="4">
        <v>28.0</v>
      </c>
      <c r="F323" s="5">
        <v>4571.48</v>
      </c>
    </row>
    <row r="324" ht="15.75" customHeight="1">
      <c r="A324" s="34">
        <v>45249.0</v>
      </c>
      <c r="B324" s="8">
        <v>70975.0</v>
      </c>
      <c r="C324" s="4">
        <v>895.0</v>
      </c>
      <c r="D324" s="5">
        <v>1020.98</v>
      </c>
      <c r="E324" s="4">
        <v>13.0</v>
      </c>
      <c r="F324" s="5">
        <v>2035.91</v>
      </c>
    </row>
    <row r="325" ht="15.75" customHeight="1">
      <c r="A325" s="34">
        <v>45250.0</v>
      </c>
      <c r="B325" s="8">
        <v>86890.0</v>
      </c>
      <c r="C325" s="4">
        <v>1847.0</v>
      </c>
      <c r="D325" s="5">
        <v>1473.52</v>
      </c>
      <c r="E325" s="4">
        <v>42.0</v>
      </c>
      <c r="F325" s="5">
        <v>7397.58</v>
      </c>
    </row>
    <row r="326" ht="15.75" customHeight="1">
      <c r="A326" s="34">
        <v>45251.0</v>
      </c>
      <c r="B326" s="8">
        <v>37785.0</v>
      </c>
      <c r="C326" s="4">
        <v>327.0</v>
      </c>
      <c r="D326" s="5">
        <v>341.99</v>
      </c>
      <c r="E326" s="4">
        <v>7.0</v>
      </c>
      <c r="F326" s="5">
        <v>1499.33</v>
      </c>
    </row>
    <row r="327" ht="15.75" customHeight="1">
      <c r="A327" s="34">
        <v>45252.0</v>
      </c>
      <c r="B327" s="8">
        <v>108659.0</v>
      </c>
      <c r="C327" s="4">
        <v>2918.0</v>
      </c>
      <c r="D327" s="5">
        <v>2837.32</v>
      </c>
      <c r="E327" s="4">
        <v>42.0</v>
      </c>
      <c r="F327" s="5">
        <v>5184.24</v>
      </c>
    </row>
    <row r="328" ht="15.75" customHeight="1">
      <c r="A328" s="34">
        <v>45253.0</v>
      </c>
      <c r="B328" s="8">
        <v>73888.0</v>
      </c>
      <c r="C328" s="4">
        <v>943.0</v>
      </c>
      <c r="D328" s="5">
        <v>917.79</v>
      </c>
      <c r="E328" s="4">
        <v>11.0</v>
      </c>
      <c r="F328" s="5">
        <v>2163.43</v>
      </c>
    </row>
    <row r="329" ht="15.75" customHeight="1">
      <c r="A329" s="34">
        <v>45254.0</v>
      </c>
      <c r="B329" s="8">
        <v>60934.0</v>
      </c>
      <c r="C329" s="4">
        <v>945.0</v>
      </c>
      <c r="D329" s="5">
        <v>967.8</v>
      </c>
      <c r="E329" s="4">
        <v>12.0</v>
      </c>
      <c r="F329" s="5">
        <v>1950.66</v>
      </c>
    </row>
    <row r="330" ht="15.75" customHeight="1">
      <c r="A330" s="34">
        <v>45255.0</v>
      </c>
      <c r="B330" s="8">
        <v>28063.0</v>
      </c>
      <c r="C330" s="4">
        <v>285.0</v>
      </c>
      <c r="D330" s="5">
        <v>305.81</v>
      </c>
      <c r="E330" s="4">
        <v>3.0</v>
      </c>
      <c r="F330" s="5">
        <v>755.2</v>
      </c>
    </row>
    <row r="331" ht="15.75" customHeight="1">
      <c r="A331" s="34">
        <v>45256.0</v>
      </c>
      <c r="B331" s="8">
        <v>27679.0</v>
      </c>
      <c r="C331" s="4">
        <v>217.0</v>
      </c>
      <c r="D331" s="5">
        <v>254.46</v>
      </c>
      <c r="E331" s="4">
        <v>3.0</v>
      </c>
      <c r="F331" s="5">
        <v>499.08</v>
      </c>
    </row>
    <row r="332" ht="15.75" customHeight="1">
      <c r="A332" s="34">
        <v>45257.0</v>
      </c>
      <c r="B332" s="8">
        <v>25054.0</v>
      </c>
      <c r="C332" s="4">
        <v>306.0</v>
      </c>
      <c r="D332" s="5">
        <v>302.66</v>
      </c>
      <c r="E332" s="4">
        <v>3.0</v>
      </c>
      <c r="F332" s="5">
        <v>757.16</v>
      </c>
    </row>
    <row r="333" ht="15.75" customHeight="1">
      <c r="A333" s="34">
        <v>45258.0</v>
      </c>
      <c r="B333" s="8">
        <v>89352.0</v>
      </c>
      <c r="C333" s="4">
        <v>2298.0</v>
      </c>
      <c r="D333" s="5">
        <v>2830.83</v>
      </c>
      <c r="E333" s="4">
        <v>30.0</v>
      </c>
      <c r="F333" s="5">
        <v>3247.45</v>
      </c>
    </row>
    <row r="334" ht="15.75" customHeight="1">
      <c r="A334" s="34">
        <v>45259.0</v>
      </c>
      <c r="B334" s="8">
        <v>37167.0</v>
      </c>
      <c r="C334" s="4">
        <v>848.0</v>
      </c>
      <c r="D334" s="5">
        <v>913.98</v>
      </c>
      <c r="E334" s="4">
        <v>12.0</v>
      </c>
      <c r="F334" s="5">
        <v>2258.11</v>
      </c>
    </row>
    <row r="335" ht="15.75" customHeight="1">
      <c r="A335" s="34">
        <v>45260.0</v>
      </c>
      <c r="B335" s="8">
        <v>48983.0</v>
      </c>
      <c r="C335" s="4">
        <v>1266.0</v>
      </c>
      <c r="D335" s="5">
        <v>1304.87</v>
      </c>
      <c r="E335" s="4">
        <v>22.0</v>
      </c>
      <c r="F335" s="5">
        <v>3674.55</v>
      </c>
    </row>
    <row r="336" ht="15.75" customHeight="1">
      <c r="A336" s="34">
        <v>45261.0</v>
      </c>
      <c r="B336" s="4">
        <v>82509.0</v>
      </c>
      <c r="C336" s="4">
        <v>2293.0</v>
      </c>
      <c r="D336" s="5">
        <v>2380.3</v>
      </c>
      <c r="E336" s="4">
        <v>38.0</v>
      </c>
      <c r="F336" s="5">
        <v>5538.78</v>
      </c>
    </row>
    <row r="337" ht="15.75" customHeight="1">
      <c r="A337" s="34">
        <v>45262.0</v>
      </c>
      <c r="B337" s="4">
        <v>77473.0</v>
      </c>
      <c r="C337" s="4">
        <v>1759.0</v>
      </c>
      <c r="D337" s="5">
        <v>2205.63</v>
      </c>
      <c r="E337" s="4">
        <v>42.0</v>
      </c>
      <c r="F337" s="5">
        <v>6672.67</v>
      </c>
    </row>
    <row r="338" ht="15.75" customHeight="1">
      <c r="A338" s="34">
        <v>45263.0</v>
      </c>
      <c r="B338" s="4">
        <v>52146.0</v>
      </c>
      <c r="C338" s="4">
        <v>627.0</v>
      </c>
      <c r="D338" s="5">
        <v>1000.12</v>
      </c>
      <c r="E338" s="4">
        <v>15.0</v>
      </c>
      <c r="F338" s="5">
        <v>2625.34</v>
      </c>
    </row>
    <row r="339" ht="15.75" customHeight="1">
      <c r="A339" s="34">
        <v>45264.0</v>
      </c>
      <c r="B339" s="4">
        <v>87583.0</v>
      </c>
      <c r="C339" s="4">
        <v>2593.0</v>
      </c>
      <c r="D339" s="5">
        <v>3789.08</v>
      </c>
      <c r="E339" s="4">
        <v>77.0</v>
      </c>
      <c r="F339" s="5">
        <v>11381.39</v>
      </c>
    </row>
    <row r="340" ht="15.75" customHeight="1">
      <c r="A340" s="34">
        <v>45265.0</v>
      </c>
      <c r="B340" s="4">
        <v>65217.0</v>
      </c>
      <c r="C340" s="4">
        <v>720.0</v>
      </c>
      <c r="D340" s="5">
        <v>958.93</v>
      </c>
      <c r="E340" s="4">
        <v>23.0</v>
      </c>
      <c r="F340" s="5">
        <v>2306.25</v>
      </c>
    </row>
    <row r="341" ht="15.75" customHeight="1">
      <c r="A341" s="34">
        <v>45266.0</v>
      </c>
      <c r="B341" s="4">
        <v>50864.0</v>
      </c>
      <c r="C341" s="4">
        <v>1582.0</v>
      </c>
      <c r="D341" s="5">
        <v>2174.8</v>
      </c>
      <c r="E341" s="4">
        <v>28.0</v>
      </c>
      <c r="F341" s="5">
        <v>4456.33</v>
      </c>
    </row>
    <row r="342" ht="15.75" customHeight="1">
      <c r="A342" s="34">
        <v>45267.0</v>
      </c>
      <c r="B342" s="4">
        <v>62158.0</v>
      </c>
      <c r="C342" s="4">
        <v>1395.0</v>
      </c>
      <c r="D342" s="5">
        <v>1833.0</v>
      </c>
      <c r="E342" s="4">
        <v>37.0</v>
      </c>
      <c r="F342" s="5">
        <v>4513.3</v>
      </c>
    </row>
    <row r="343" ht="15.75" customHeight="1">
      <c r="A343" s="34">
        <v>45268.0</v>
      </c>
      <c r="B343" s="4">
        <v>88743.0</v>
      </c>
      <c r="C343" s="4">
        <v>1561.0</v>
      </c>
      <c r="D343" s="5">
        <v>2688.52</v>
      </c>
      <c r="E343" s="4">
        <v>40.0</v>
      </c>
      <c r="F343" s="5">
        <v>6472.86</v>
      </c>
    </row>
    <row r="344" ht="15.75" customHeight="1">
      <c r="A344" s="34">
        <v>45269.0</v>
      </c>
      <c r="B344" s="4">
        <v>61180.0</v>
      </c>
      <c r="C344" s="4">
        <v>1537.0</v>
      </c>
      <c r="D344" s="5">
        <v>2194.37</v>
      </c>
      <c r="E344" s="4">
        <v>46.0</v>
      </c>
      <c r="F344" s="5">
        <v>4668.68</v>
      </c>
    </row>
    <row r="345" ht="15.75" customHeight="1">
      <c r="A345" s="34">
        <v>45270.0</v>
      </c>
      <c r="B345" s="4">
        <v>40935.0</v>
      </c>
      <c r="C345" s="4">
        <v>776.0</v>
      </c>
      <c r="D345" s="5">
        <v>1262.86</v>
      </c>
      <c r="E345" s="4">
        <v>15.0</v>
      </c>
      <c r="F345" s="5">
        <v>1512.65</v>
      </c>
    </row>
    <row r="346" ht="15.75" customHeight="1">
      <c r="A346" s="34">
        <v>45271.0</v>
      </c>
      <c r="B346" s="4">
        <v>56327.0</v>
      </c>
      <c r="C346" s="4">
        <v>708.0</v>
      </c>
      <c r="D346" s="5">
        <v>1202.06</v>
      </c>
      <c r="E346" s="4">
        <v>11.0</v>
      </c>
      <c r="F346" s="5">
        <v>1864.73</v>
      </c>
    </row>
    <row r="347" ht="15.75" customHeight="1">
      <c r="A347" s="34">
        <v>45272.0</v>
      </c>
      <c r="B347" s="4">
        <v>33908.0</v>
      </c>
      <c r="C347" s="4">
        <v>321.0</v>
      </c>
      <c r="D347" s="5">
        <v>476.27</v>
      </c>
      <c r="E347" s="4">
        <v>5.0</v>
      </c>
      <c r="F347" s="5">
        <v>570.53</v>
      </c>
    </row>
    <row r="348" ht="15.75" customHeight="1">
      <c r="A348" s="34">
        <v>45273.0</v>
      </c>
      <c r="B348" s="4">
        <v>90320.0</v>
      </c>
      <c r="C348" s="4">
        <v>2085.0</v>
      </c>
      <c r="D348" s="5">
        <v>2667.44</v>
      </c>
      <c r="E348" s="4">
        <v>62.0</v>
      </c>
      <c r="F348" s="5">
        <v>6037.11</v>
      </c>
    </row>
    <row r="349" ht="15.75" customHeight="1">
      <c r="A349" s="34">
        <v>45274.0</v>
      </c>
      <c r="B349" s="4">
        <v>26740.0</v>
      </c>
      <c r="C349" s="4">
        <v>694.0</v>
      </c>
      <c r="D349" s="5">
        <v>1082.47</v>
      </c>
      <c r="E349" s="4">
        <v>13.0</v>
      </c>
      <c r="F349" s="5">
        <v>2178.33</v>
      </c>
    </row>
    <row r="350" ht="15.75" customHeight="1">
      <c r="A350" s="34">
        <v>45275.0</v>
      </c>
      <c r="B350" s="4">
        <v>89616.0</v>
      </c>
      <c r="C350" s="4">
        <v>2817.0</v>
      </c>
      <c r="D350" s="5">
        <v>3994.51</v>
      </c>
      <c r="E350" s="4">
        <v>73.0</v>
      </c>
      <c r="F350" s="5">
        <v>6134.31</v>
      </c>
    </row>
    <row r="351" ht="15.75" customHeight="1">
      <c r="A351" s="34">
        <v>45276.0</v>
      </c>
      <c r="B351" s="4">
        <v>76228.0</v>
      </c>
      <c r="C351" s="4">
        <v>2332.0</v>
      </c>
      <c r="D351" s="5">
        <v>2519.5</v>
      </c>
      <c r="E351" s="4">
        <v>67.0</v>
      </c>
      <c r="F351" s="5">
        <v>10849.4</v>
      </c>
    </row>
    <row r="352" ht="15.75" customHeight="1">
      <c r="A352" s="34">
        <v>45277.0</v>
      </c>
      <c r="B352" s="4">
        <v>42980.0</v>
      </c>
      <c r="C352" s="4">
        <v>630.0</v>
      </c>
      <c r="D352" s="5">
        <v>825.08</v>
      </c>
      <c r="E352" s="4">
        <v>11.0</v>
      </c>
      <c r="F352" s="5">
        <v>1679.71</v>
      </c>
    </row>
    <row r="353" ht="15.75" customHeight="1">
      <c r="A353" s="34">
        <v>45278.0</v>
      </c>
      <c r="B353" s="4">
        <v>81146.0</v>
      </c>
      <c r="C353" s="4">
        <v>1545.0</v>
      </c>
      <c r="D353" s="5">
        <v>2203.98</v>
      </c>
      <c r="E353" s="4">
        <v>40.0</v>
      </c>
      <c r="F353" s="5">
        <v>5568.58</v>
      </c>
    </row>
    <row r="354" ht="15.75" customHeight="1">
      <c r="A354" s="34">
        <v>45279.0</v>
      </c>
      <c r="B354" s="4">
        <v>71337.0</v>
      </c>
      <c r="C354" s="4">
        <v>2295.0</v>
      </c>
      <c r="D354" s="5">
        <v>3154.23</v>
      </c>
      <c r="E354" s="4">
        <v>45.0</v>
      </c>
      <c r="F354" s="5">
        <v>5171.08</v>
      </c>
    </row>
    <row r="355" ht="15.75" customHeight="1">
      <c r="A355" s="34">
        <v>45280.0</v>
      </c>
      <c r="B355" s="4">
        <v>87018.0</v>
      </c>
      <c r="C355" s="4">
        <v>2548.0</v>
      </c>
      <c r="D355" s="5">
        <v>2885.51</v>
      </c>
      <c r="E355" s="4">
        <v>42.0</v>
      </c>
      <c r="F355" s="5">
        <v>5797.67</v>
      </c>
    </row>
    <row r="356" ht="15.75" customHeight="1">
      <c r="A356" s="34">
        <v>45281.0</v>
      </c>
      <c r="B356" s="4">
        <v>26574.0</v>
      </c>
      <c r="C356" s="4">
        <v>256.0</v>
      </c>
      <c r="D356" s="5">
        <v>309.11</v>
      </c>
      <c r="E356" s="4">
        <v>5.0</v>
      </c>
      <c r="F356" s="5">
        <v>832.87</v>
      </c>
    </row>
    <row r="357" ht="15.75" customHeight="1">
      <c r="A357" s="34">
        <v>45282.0</v>
      </c>
      <c r="B357" s="4">
        <v>58976.0</v>
      </c>
      <c r="C357" s="4">
        <v>991.0</v>
      </c>
      <c r="D357" s="5">
        <v>1063.68</v>
      </c>
      <c r="E357" s="4">
        <v>18.0</v>
      </c>
      <c r="F357" s="5">
        <v>1810.3</v>
      </c>
    </row>
    <row r="358" ht="15.75" customHeight="1">
      <c r="A358" s="34">
        <v>45283.0</v>
      </c>
      <c r="B358" s="4">
        <v>60936.0</v>
      </c>
      <c r="C358" s="4">
        <v>709.0</v>
      </c>
      <c r="D358" s="5">
        <v>927.49</v>
      </c>
      <c r="E358" s="4">
        <v>21.0</v>
      </c>
      <c r="F358" s="5">
        <v>3138.07</v>
      </c>
    </row>
    <row r="359" ht="15.75" customHeight="1">
      <c r="A359" s="34">
        <v>45284.0</v>
      </c>
      <c r="B359" s="4">
        <v>67930.0</v>
      </c>
      <c r="C359" s="4">
        <v>1620.0</v>
      </c>
      <c r="D359" s="5">
        <v>1834.31</v>
      </c>
      <c r="E359" s="4">
        <v>38.0</v>
      </c>
      <c r="F359" s="5">
        <v>4202.44</v>
      </c>
    </row>
    <row r="360" ht="15.75" customHeight="1">
      <c r="A360" s="34">
        <v>45285.0</v>
      </c>
      <c r="B360" s="4">
        <v>90416.0</v>
      </c>
      <c r="C360" s="4">
        <v>1234.0</v>
      </c>
      <c r="D360" s="5">
        <v>1163.55</v>
      </c>
      <c r="E360" s="4">
        <v>28.0</v>
      </c>
      <c r="F360" s="5">
        <v>2933.97</v>
      </c>
    </row>
    <row r="361" ht="15.75" customHeight="1">
      <c r="A361" s="34">
        <v>45286.0</v>
      </c>
      <c r="B361" s="4">
        <v>32557.0</v>
      </c>
      <c r="C361" s="4">
        <v>537.0</v>
      </c>
      <c r="D361" s="5">
        <v>563.34</v>
      </c>
      <c r="E361" s="4">
        <v>10.0</v>
      </c>
      <c r="F361" s="5">
        <v>1455.92</v>
      </c>
    </row>
    <row r="362" ht="15.75" customHeight="1">
      <c r="A362" s="34">
        <v>45287.0</v>
      </c>
      <c r="B362" s="4">
        <v>78978.0</v>
      </c>
      <c r="C362" s="4">
        <v>2015.0</v>
      </c>
      <c r="D362" s="5">
        <v>2038.42</v>
      </c>
      <c r="E362" s="4">
        <v>36.0</v>
      </c>
      <c r="F362" s="5">
        <v>4613.7</v>
      </c>
    </row>
    <row r="363" ht="15.75" customHeight="1">
      <c r="A363" s="34">
        <v>45288.0</v>
      </c>
      <c r="B363" s="4">
        <v>82624.0</v>
      </c>
      <c r="C363" s="4">
        <v>2146.0</v>
      </c>
      <c r="D363" s="5">
        <v>3154.42</v>
      </c>
      <c r="E363" s="4">
        <v>48.0</v>
      </c>
      <c r="F363" s="5">
        <v>6374.15</v>
      </c>
    </row>
    <row r="364" ht="15.75" customHeight="1">
      <c r="A364" s="34">
        <v>45289.0</v>
      </c>
      <c r="B364" s="4">
        <v>53526.0</v>
      </c>
      <c r="C364" s="4">
        <v>999.0</v>
      </c>
      <c r="D364" s="5">
        <v>942.64</v>
      </c>
      <c r="E364" s="4">
        <v>17.0</v>
      </c>
      <c r="F364" s="5">
        <v>1546.4</v>
      </c>
    </row>
    <row r="365" ht="15.75" customHeight="1">
      <c r="A365" s="34">
        <v>45290.0</v>
      </c>
      <c r="B365" s="4">
        <v>44296.0</v>
      </c>
      <c r="C365" s="4">
        <v>1092.0</v>
      </c>
      <c r="D365" s="5">
        <v>1418.17</v>
      </c>
      <c r="E365" s="4">
        <v>26.0</v>
      </c>
      <c r="F365" s="5">
        <v>3860.58</v>
      </c>
    </row>
    <row r="366" ht="15.75" customHeight="1">
      <c r="A366" s="34">
        <v>45291.0</v>
      </c>
      <c r="B366" s="4">
        <v>74487.0</v>
      </c>
      <c r="C366" s="4">
        <v>2047.0</v>
      </c>
      <c r="D366" s="5">
        <v>1964.61</v>
      </c>
      <c r="E366" s="4">
        <v>47.0</v>
      </c>
      <c r="F366" s="5">
        <v>5801.42</v>
      </c>
    </row>
    <row r="367" ht="15.75" customHeight="1">
      <c r="A367" s="34"/>
    </row>
    <row r="368" ht="15.75" customHeight="1">
      <c r="A368" s="34"/>
    </row>
    <row r="369" ht="15.75" customHeight="1">
      <c r="A369" s="34"/>
    </row>
    <row r="370" ht="15.75" customHeight="1">
      <c r="A370" s="34"/>
    </row>
    <row r="371" ht="15.75" customHeight="1">
      <c r="A371" s="34"/>
    </row>
    <row r="372" ht="15.75" customHeight="1">
      <c r="A372" s="34"/>
    </row>
    <row r="373" ht="15.75" customHeight="1">
      <c r="A373" s="34"/>
    </row>
    <row r="374" ht="15.75" customHeight="1">
      <c r="A374" s="34"/>
    </row>
    <row r="375" ht="15.75" customHeight="1">
      <c r="A375" s="34"/>
    </row>
    <row r="376" ht="15.75" customHeight="1">
      <c r="A376" s="34"/>
    </row>
    <row r="377" ht="15.75" customHeight="1">
      <c r="A377" s="34"/>
    </row>
    <row r="378" ht="15.75" customHeight="1">
      <c r="A378" s="34"/>
    </row>
    <row r="379" ht="15.75" customHeight="1">
      <c r="A379" s="34"/>
    </row>
    <row r="380" ht="15.75" customHeight="1">
      <c r="A380" s="34"/>
    </row>
    <row r="381" ht="15.75" customHeight="1">
      <c r="A381" s="34"/>
    </row>
    <row r="382" ht="15.75" customHeight="1">
      <c r="A382" s="34"/>
    </row>
    <row r="383" ht="15.75" customHeight="1">
      <c r="A383" s="34"/>
    </row>
    <row r="384" ht="15.75" customHeight="1">
      <c r="A384" s="34"/>
    </row>
    <row r="385" ht="15.75" customHeight="1">
      <c r="A385" s="34"/>
    </row>
    <row r="386" ht="15.75" customHeight="1">
      <c r="A386" s="34"/>
    </row>
    <row r="387" ht="15.75" customHeight="1">
      <c r="A387" s="34"/>
    </row>
    <row r="388" ht="15.75" customHeight="1">
      <c r="A388" s="34"/>
    </row>
    <row r="389" ht="15.75" customHeight="1">
      <c r="A389" s="34"/>
    </row>
    <row r="390" ht="15.75" customHeight="1">
      <c r="A390" s="34"/>
    </row>
    <row r="391" ht="15.75" customHeight="1">
      <c r="A391" s="34"/>
    </row>
    <row r="392" ht="15.75" customHeight="1">
      <c r="A392" s="34"/>
    </row>
    <row r="393" ht="15.75" customHeight="1">
      <c r="A393" s="34"/>
    </row>
    <row r="394" ht="15.75" customHeight="1">
      <c r="A394" s="34"/>
    </row>
    <row r="395" ht="15.75" customHeight="1">
      <c r="A395" s="34"/>
    </row>
    <row r="396" ht="15.75" customHeight="1">
      <c r="A396" s="34"/>
    </row>
    <row r="397" ht="15.75" customHeight="1">
      <c r="A397" s="34"/>
    </row>
    <row r="398" ht="15.75" customHeight="1">
      <c r="A398" s="34"/>
    </row>
    <row r="399" ht="15.75" customHeight="1">
      <c r="A399" s="34"/>
    </row>
    <row r="400" ht="15.75" customHeight="1">
      <c r="A400" s="34"/>
    </row>
    <row r="401" ht="15.75" customHeight="1">
      <c r="A401" s="34"/>
    </row>
    <row r="402" ht="15.75" customHeight="1">
      <c r="A402" s="34"/>
    </row>
    <row r="403" ht="15.75" customHeight="1">
      <c r="A403" s="34"/>
    </row>
    <row r="404" ht="15.75" customHeight="1">
      <c r="A404" s="34"/>
    </row>
    <row r="405" ht="15.75" customHeight="1">
      <c r="A405" s="34"/>
    </row>
    <row r="406" ht="15.75" customHeight="1">
      <c r="A406" s="34"/>
    </row>
    <row r="407" ht="15.75" customHeight="1">
      <c r="A407" s="34"/>
    </row>
    <row r="408" ht="15.75" customHeight="1">
      <c r="A408" s="34"/>
    </row>
    <row r="409" ht="15.75" customHeight="1">
      <c r="A409" s="34"/>
    </row>
    <row r="410" ht="15.75" customHeight="1">
      <c r="A410" s="34"/>
    </row>
    <row r="411" ht="15.75" customHeight="1">
      <c r="A411" s="34"/>
    </row>
    <row r="412" ht="15.75" customHeight="1">
      <c r="A412" s="34"/>
    </row>
    <row r="413" ht="15.75" customHeight="1">
      <c r="A413" s="34"/>
    </row>
    <row r="414" ht="15.75" customHeight="1">
      <c r="A414" s="34"/>
    </row>
    <row r="415" ht="15.75" customHeight="1">
      <c r="A415" s="34"/>
    </row>
    <row r="416" ht="15.75" customHeight="1">
      <c r="A416" s="34"/>
    </row>
    <row r="417" ht="15.75" customHeight="1">
      <c r="A417" s="34"/>
    </row>
    <row r="418" ht="15.75" customHeight="1">
      <c r="A418" s="34"/>
    </row>
    <row r="419" ht="15.75" customHeight="1">
      <c r="A419" s="34"/>
    </row>
    <row r="420" ht="15.75" customHeight="1">
      <c r="A420" s="34"/>
    </row>
    <row r="421" ht="15.75" customHeight="1">
      <c r="A421" s="34"/>
    </row>
    <row r="422" ht="15.75" customHeight="1">
      <c r="A422" s="34"/>
    </row>
    <row r="423" ht="15.75" customHeight="1">
      <c r="A423" s="34"/>
    </row>
    <row r="424" ht="15.75" customHeight="1">
      <c r="A424" s="34"/>
    </row>
    <row r="425" ht="15.75" customHeight="1">
      <c r="A425" s="34"/>
    </row>
    <row r="426" ht="15.75" customHeight="1">
      <c r="A426" s="34"/>
    </row>
    <row r="427" ht="15.75" customHeight="1">
      <c r="A427" s="34"/>
    </row>
    <row r="428" ht="15.75" customHeight="1">
      <c r="A428" s="34"/>
    </row>
    <row r="429" ht="15.75" customHeight="1">
      <c r="A429" s="34"/>
    </row>
    <row r="430" ht="15.75" customHeight="1">
      <c r="A430" s="34"/>
    </row>
    <row r="431" ht="15.75" customHeight="1">
      <c r="A431" s="34"/>
    </row>
    <row r="432" ht="15.75" customHeight="1">
      <c r="A432" s="34"/>
    </row>
    <row r="433" ht="15.75" customHeight="1">
      <c r="A433" s="34"/>
    </row>
    <row r="434" ht="15.75" customHeight="1">
      <c r="A434" s="34"/>
    </row>
    <row r="435" ht="15.75" customHeight="1">
      <c r="A435" s="34"/>
    </row>
    <row r="436" ht="15.75" customHeight="1">
      <c r="A436" s="34"/>
    </row>
    <row r="437" ht="15.75" customHeight="1">
      <c r="A437" s="34"/>
    </row>
    <row r="438" ht="15.75" customHeight="1">
      <c r="A438" s="34"/>
    </row>
    <row r="439" ht="15.75" customHeight="1">
      <c r="A439" s="34"/>
    </row>
    <row r="440" ht="15.75" customHeight="1">
      <c r="A440" s="34"/>
    </row>
    <row r="441" ht="15.75" customHeight="1">
      <c r="A441" s="34"/>
    </row>
    <row r="442" ht="15.75" customHeight="1">
      <c r="A442" s="34"/>
    </row>
    <row r="443" ht="15.75" customHeight="1">
      <c r="A443" s="34"/>
    </row>
    <row r="444" ht="15.75" customHeight="1">
      <c r="A444" s="34"/>
    </row>
    <row r="445" ht="15.75" customHeight="1">
      <c r="A445" s="34"/>
    </row>
    <row r="446" ht="15.75" customHeight="1">
      <c r="A446" s="34"/>
    </row>
    <row r="447" ht="15.75" customHeight="1">
      <c r="A447" s="34"/>
    </row>
    <row r="448" ht="15.75" customHeight="1">
      <c r="A448" s="34"/>
    </row>
    <row r="449" ht="15.75" customHeight="1">
      <c r="A449" s="34"/>
    </row>
    <row r="450" ht="15.75" customHeight="1">
      <c r="A450" s="34"/>
    </row>
    <row r="451" ht="15.75" customHeight="1">
      <c r="A451" s="34"/>
    </row>
    <row r="452" ht="15.75" customHeight="1">
      <c r="A452" s="34"/>
    </row>
    <row r="453" ht="15.75" customHeight="1">
      <c r="A453" s="34"/>
    </row>
    <row r="454" ht="15.75" customHeight="1">
      <c r="A454" s="34"/>
    </row>
    <row r="455" ht="15.75" customHeight="1">
      <c r="A455" s="34"/>
    </row>
    <row r="456" ht="15.75" customHeight="1">
      <c r="A456" s="34"/>
    </row>
    <row r="457" ht="15.75" customHeight="1">
      <c r="A457" s="34"/>
    </row>
    <row r="458" ht="15.75" customHeight="1">
      <c r="A458" s="34"/>
    </row>
    <row r="459" ht="15.75" customHeight="1">
      <c r="A459" s="34"/>
    </row>
    <row r="460" ht="15.75" customHeight="1">
      <c r="A460" s="34"/>
    </row>
    <row r="461" ht="15.75" customHeight="1">
      <c r="A461" s="34"/>
    </row>
    <row r="462" ht="15.75" customHeight="1">
      <c r="A462" s="34"/>
    </row>
    <row r="463" ht="15.75" customHeight="1">
      <c r="A463" s="34"/>
    </row>
    <row r="464" ht="15.75" customHeight="1">
      <c r="A464" s="34"/>
    </row>
    <row r="465" ht="15.75" customHeight="1">
      <c r="A465" s="34"/>
    </row>
    <row r="466" ht="15.75" customHeight="1">
      <c r="A466" s="34"/>
    </row>
    <row r="467" ht="15.75" customHeight="1">
      <c r="A467" s="34"/>
    </row>
    <row r="468" ht="15.75" customHeight="1">
      <c r="A468" s="34"/>
    </row>
    <row r="469" ht="15.75" customHeight="1">
      <c r="A469" s="34"/>
    </row>
    <row r="470" ht="15.75" customHeight="1">
      <c r="A470" s="34"/>
    </row>
    <row r="471" ht="15.75" customHeight="1">
      <c r="A471" s="34"/>
    </row>
    <row r="472" ht="15.75" customHeight="1">
      <c r="A472" s="34"/>
    </row>
    <row r="473" ht="15.75" customHeight="1">
      <c r="A473" s="34"/>
    </row>
    <row r="474" ht="15.75" customHeight="1">
      <c r="A474" s="34"/>
    </row>
    <row r="475" ht="15.75" customHeight="1">
      <c r="A475" s="34"/>
    </row>
    <row r="476" ht="15.75" customHeight="1">
      <c r="A476" s="34"/>
    </row>
    <row r="477" ht="15.75" customHeight="1">
      <c r="A477" s="34"/>
    </row>
    <row r="478" ht="15.75" customHeight="1">
      <c r="A478" s="34"/>
    </row>
    <row r="479" ht="15.75" customHeight="1">
      <c r="A479" s="34"/>
    </row>
    <row r="480" ht="15.75" customHeight="1">
      <c r="A480" s="34"/>
    </row>
    <row r="481" ht="15.75" customHeight="1">
      <c r="A481" s="34"/>
    </row>
    <row r="482" ht="15.75" customHeight="1">
      <c r="A482" s="34"/>
    </row>
    <row r="483" ht="15.75" customHeight="1">
      <c r="A483" s="34"/>
    </row>
    <row r="484" ht="15.75" customHeight="1">
      <c r="A484" s="34"/>
    </row>
    <row r="485" ht="15.75" customHeight="1">
      <c r="A485" s="34"/>
    </row>
    <row r="486" ht="15.75" customHeight="1">
      <c r="A486" s="34"/>
    </row>
    <row r="487" ht="15.75" customHeight="1">
      <c r="A487" s="34"/>
    </row>
    <row r="488" ht="15.75" customHeight="1">
      <c r="A488" s="34"/>
    </row>
    <row r="489" ht="15.75" customHeight="1">
      <c r="A489" s="34"/>
    </row>
    <row r="490" ht="15.75" customHeight="1">
      <c r="A490" s="34"/>
    </row>
    <row r="491" ht="15.75" customHeight="1">
      <c r="A491" s="34"/>
    </row>
    <row r="492" ht="15.75" customHeight="1">
      <c r="A492" s="34"/>
    </row>
    <row r="493" ht="15.75" customHeight="1">
      <c r="A493" s="34"/>
    </row>
    <row r="494" ht="15.75" customHeight="1">
      <c r="A494" s="34"/>
    </row>
    <row r="495" ht="15.75" customHeight="1">
      <c r="A495" s="34"/>
    </row>
    <row r="496" ht="15.75" customHeight="1">
      <c r="A496" s="34"/>
    </row>
    <row r="497" ht="15.75" customHeight="1">
      <c r="A497" s="34"/>
    </row>
    <row r="498" ht="15.75" customHeight="1">
      <c r="A498" s="34"/>
    </row>
    <row r="499" ht="15.75" customHeight="1">
      <c r="A499" s="34"/>
    </row>
    <row r="500" ht="15.75" customHeight="1">
      <c r="A500" s="34"/>
    </row>
    <row r="501" ht="15.75" customHeight="1">
      <c r="A501" s="34"/>
    </row>
    <row r="502" ht="15.75" customHeight="1">
      <c r="A502" s="34"/>
    </row>
    <row r="503" ht="15.75" customHeight="1">
      <c r="A503" s="34"/>
    </row>
    <row r="504" ht="15.75" customHeight="1">
      <c r="A504" s="34"/>
    </row>
    <row r="505" ht="15.75" customHeight="1">
      <c r="A505" s="34"/>
    </row>
    <row r="506" ht="15.75" customHeight="1">
      <c r="A506" s="34"/>
    </row>
    <row r="507" ht="15.75" customHeight="1">
      <c r="A507" s="34"/>
    </row>
    <row r="508" ht="15.75" customHeight="1">
      <c r="A508" s="34"/>
    </row>
    <row r="509" ht="15.75" customHeight="1">
      <c r="A509" s="34"/>
    </row>
    <row r="510" ht="15.75" customHeight="1">
      <c r="A510" s="34"/>
    </row>
    <row r="511" ht="15.75" customHeight="1">
      <c r="A511" s="34"/>
    </row>
    <row r="512" ht="15.75" customHeight="1">
      <c r="A512" s="34"/>
    </row>
    <row r="513" ht="15.75" customHeight="1">
      <c r="A513" s="34"/>
    </row>
    <row r="514" ht="15.75" customHeight="1">
      <c r="A514" s="34"/>
    </row>
    <row r="515" ht="15.75" customHeight="1">
      <c r="A515" s="34"/>
    </row>
    <row r="516" ht="15.75" customHeight="1">
      <c r="A516" s="34"/>
    </row>
    <row r="517" ht="15.75" customHeight="1">
      <c r="A517" s="34"/>
    </row>
    <row r="518" ht="15.75" customHeight="1">
      <c r="A518" s="34"/>
    </row>
    <row r="519" ht="15.75" customHeight="1">
      <c r="A519" s="34"/>
    </row>
    <row r="520" ht="15.75" customHeight="1">
      <c r="A520" s="34"/>
    </row>
    <row r="521" ht="15.75" customHeight="1">
      <c r="A521" s="34"/>
    </row>
    <row r="522" ht="15.75" customHeight="1">
      <c r="A522" s="34"/>
    </row>
    <row r="523" ht="15.75" customHeight="1">
      <c r="A523" s="34"/>
    </row>
    <row r="524" ht="15.75" customHeight="1">
      <c r="A524" s="34"/>
    </row>
    <row r="525" ht="15.75" customHeight="1">
      <c r="A525" s="34"/>
    </row>
    <row r="526" ht="15.75" customHeight="1">
      <c r="A526" s="34"/>
    </row>
    <row r="527" ht="15.75" customHeight="1">
      <c r="A527" s="34"/>
    </row>
    <row r="528" ht="15.75" customHeight="1">
      <c r="A528" s="34"/>
    </row>
    <row r="529" ht="15.75" customHeight="1">
      <c r="A529" s="34"/>
    </row>
    <row r="530" ht="15.75" customHeight="1">
      <c r="A530" s="34"/>
    </row>
    <row r="531" ht="15.75" customHeight="1">
      <c r="A531" s="34"/>
    </row>
    <row r="532" ht="15.75" customHeight="1">
      <c r="A532" s="34"/>
    </row>
    <row r="533" ht="15.75" customHeight="1">
      <c r="A533" s="34"/>
    </row>
    <row r="534" ht="15.75" customHeight="1">
      <c r="A534" s="34"/>
    </row>
    <row r="535" ht="15.75" customHeight="1">
      <c r="A535" s="34"/>
    </row>
    <row r="536" ht="15.75" customHeight="1">
      <c r="A536" s="34"/>
    </row>
    <row r="537" ht="15.75" customHeight="1">
      <c r="A537" s="34"/>
    </row>
    <row r="538" ht="15.75" customHeight="1">
      <c r="A538" s="34"/>
    </row>
    <row r="539" ht="15.75" customHeight="1">
      <c r="A539" s="34"/>
    </row>
    <row r="540" ht="15.75" customHeight="1">
      <c r="A540" s="34"/>
    </row>
    <row r="541" ht="15.75" customHeight="1">
      <c r="A541" s="34"/>
    </row>
    <row r="542" ht="15.75" customHeight="1">
      <c r="A542" s="34"/>
    </row>
    <row r="543" ht="15.75" customHeight="1">
      <c r="A543" s="34"/>
    </row>
    <row r="544" ht="15.75" customHeight="1">
      <c r="A544" s="34"/>
    </row>
    <row r="545" ht="15.75" customHeight="1">
      <c r="A545" s="34"/>
    </row>
    <row r="546" ht="15.75" customHeight="1">
      <c r="A546" s="34"/>
    </row>
    <row r="547" ht="15.75" customHeight="1">
      <c r="A547" s="34"/>
    </row>
    <row r="548" ht="15.75" customHeight="1">
      <c r="A548" s="34"/>
    </row>
    <row r="549" ht="15.75" customHeight="1">
      <c r="A549" s="34"/>
    </row>
    <row r="550" ht="15.75" customHeight="1">
      <c r="A550" s="34"/>
    </row>
    <row r="551" ht="15.75" customHeight="1">
      <c r="A551" s="34"/>
    </row>
    <row r="552" ht="15.75" customHeight="1">
      <c r="A552" s="34"/>
    </row>
    <row r="553" ht="15.75" customHeight="1">
      <c r="A553" s="34"/>
    </row>
    <row r="554" ht="15.75" customHeight="1">
      <c r="A554" s="34"/>
    </row>
    <row r="555" ht="15.75" customHeight="1">
      <c r="A555" s="34"/>
    </row>
    <row r="556" ht="15.75" customHeight="1">
      <c r="A556" s="34"/>
    </row>
    <row r="557" ht="15.75" customHeight="1">
      <c r="A557" s="34"/>
    </row>
    <row r="558" ht="15.75" customHeight="1">
      <c r="A558" s="34"/>
    </row>
    <row r="559" ht="15.75" customHeight="1">
      <c r="A559" s="34"/>
    </row>
    <row r="560" ht="15.75" customHeight="1">
      <c r="A560" s="34"/>
    </row>
    <row r="561" ht="15.75" customHeight="1">
      <c r="A561" s="34"/>
    </row>
    <row r="562" ht="15.75" customHeight="1">
      <c r="A562" s="34"/>
    </row>
    <row r="563" ht="15.75" customHeight="1">
      <c r="A563" s="34"/>
    </row>
    <row r="564" ht="15.75" customHeight="1">
      <c r="A564" s="34"/>
    </row>
    <row r="565" ht="15.75" customHeight="1">
      <c r="A565" s="34"/>
    </row>
    <row r="566" ht="15.75" customHeight="1">
      <c r="A566" s="34"/>
    </row>
    <row r="567" ht="15.75" customHeight="1">
      <c r="A567" s="34"/>
    </row>
    <row r="568" ht="15.75" customHeight="1">
      <c r="A568" s="34"/>
    </row>
    <row r="569" ht="15.75" customHeight="1">
      <c r="A569" s="34"/>
    </row>
    <row r="570" ht="15.75" customHeight="1">
      <c r="A570" s="34"/>
    </row>
    <row r="571" ht="15.75" customHeight="1">
      <c r="A571" s="34"/>
    </row>
    <row r="572" ht="15.75" customHeight="1">
      <c r="A572" s="34"/>
    </row>
    <row r="573" ht="15.75" customHeight="1">
      <c r="A573" s="34"/>
    </row>
    <row r="574" ht="15.75" customHeight="1">
      <c r="A574" s="34"/>
    </row>
    <row r="575" ht="15.75" customHeight="1">
      <c r="A575" s="34"/>
    </row>
    <row r="576" ht="15.75" customHeight="1">
      <c r="A576" s="34"/>
    </row>
    <row r="577" ht="15.75" customHeight="1">
      <c r="A577" s="34"/>
    </row>
    <row r="578" ht="15.75" customHeight="1">
      <c r="A578" s="34"/>
    </row>
    <row r="579" ht="15.75" customHeight="1">
      <c r="A579" s="34"/>
    </row>
    <row r="580" ht="15.75" customHeight="1">
      <c r="A580" s="34"/>
    </row>
    <row r="581" ht="15.75" customHeight="1">
      <c r="A581" s="34"/>
    </row>
    <row r="582" ht="15.75" customHeight="1">
      <c r="A582" s="34"/>
    </row>
    <row r="583" ht="15.75" customHeight="1">
      <c r="A583" s="34"/>
    </row>
    <row r="584" ht="15.75" customHeight="1">
      <c r="A584" s="34"/>
    </row>
    <row r="585" ht="15.75" customHeight="1">
      <c r="A585" s="34"/>
    </row>
    <row r="586" ht="15.75" customHeight="1">
      <c r="A586" s="34"/>
    </row>
    <row r="587" ht="15.75" customHeight="1">
      <c r="A587" s="34"/>
    </row>
    <row r="588" ht="15.75" customHeight="1">
      <c r="A588" s="34"/>
    </row>
    <row r="589" ht="15.75" customHeight="1">
      <c r="A589" s="34"/>
    </row>
    <row r="590" ht="15.75" customHeight="1">
      <c r="A590" s="34"/>
    </row>
    <row r="591" ht="15.75" customHeight="1">
      <c r="A591" s="34"/>
    </row>
    <row r="592" ht="15.75" customHeight="1">
      <c r="A592" s="34"/>
    </row>
    <row r="593" ht="15.75" customHeight="1">
      <c r="A593" s="34"/>
    </row>
    <row r="594" ht="15.75" customHeight="1">
      <c r="A594" s="34"/>
    </row>
    <row r="595" ht="15.75" customHeight="1">
      <c r="A595" s="34"/>
    </row>
    <row r="596" ht="15.75" customHeight="1">
      <c r="A596" s="34"/>
    </row>
    <row r="597" ht="15.75" customHeight="1">
      <c r="A597" s="34"/>
    </row>
    <row r="598" ht="15.75" customHeight="1">
      <c r="A598" s="34"/>
    </row>
    <row r="599" ht="15.75" customHeight="1">
      <c r="A599" s="34"/>
    </row>
    <row r="600" ht="15.75" customHeight="1">
      <c r="A600" s="34"/>
    </row>
    <row r="601" ht="15.75" customHeight="1">
      <c r="A601" s="34"/>
    </row>
    <row r="602" ht="15.75" customHeight="1">
      <c r="A602" s="34"/>
    </row>
    <row r="603" ht="15.75" customHeight="1">
      <c r="A603" s="34"/>
    </row>
    <row r="604" ht="15.75" customHeight="1">
      <c r="A604" s="34"/>
    </row>
    <row r="605" ht="15.75" customHeight="1">
      <c r="A605" s="34"/>
    </row>
    <row r="606" ht="15.75" customHeight="1">
      <c r="A606" s="34"/>
    </row>
    <row r="607" ht="15.75" customHeight="1">
      <c r="A607" s="34"/>
    </row>
    <row r="608" ht="15.75" customHeight="1">
      <c r="A608" s="34"/>
    </row>
    <row r="609" ht="15.75" customHeight="1">
      <c r="A609" s="34"/>
    </row>
    <row r="610" ht="15.75" customHeight="1">
      <c r="A610" s="34"/>
    </row>
    <row r="611" ht="15.75" customHeight="1">
      <c r="A611" s="34"/>
    </row>
    <row r="612" ht="15.75" customHeight="1">
      <c r="A612" s="34"/>
    </row>
    <row r="613" ht="15.75" customHeight="1">
      <c r="A613" s="34"/>
    </row>
    <row r="614" ht="15.75" customHeight="1">
      <c r="A614" s="34"/>
    </row>
    <row r="615" ht="15.75" customHeight="1">
      <c r="A615" s="34"/>
    </row>
    <row r="616" ht="15.75" customHeight="1">
      <c r="A616" s="34"/>
    </row>
    <row r="617" ht="15.75" customHeight="1">
      <c r="A617" s="34"/>
    </row>
    <row r="618" ht="15.75" customHeight="1">
      <c r="A618" s="34"/>
    </row>
    <row r="619" ht="15.75" customHeight="1">
      <c r="A619" s="34"/>
    </row>
    <row r="620" ht="15.75" customHeight="1">
      <c r="A620" s="34"/>
    </row>
    <row r="621" ht="15.75" customHeight="1">
      <c r="A621" s="34"/>
    </row>
    <row r="622" ht="15.75" customHeight="1">
      <c r="A622" s="34"/>
    </row>
    <row r="623" ht="15.75" customHeight="1">
      <c r="A623" s="34"/>
    </row>
    <row r="624" ht="15.75" customHeight="1">
      <c r="A624" s="34"/>
    </row>
    <row r="625" ht="15.75" customHeight="1">
      <c r="A625" s="34"/>
    </row>
    <row r="626" ht="15.75" customHeight="1">
      <c r="A626" s="34"/>
    </row>
    <row r="627" ht="15.75" customHeight="1">
      <c r="A627" s="34"/>
    </row>
    <row r="628" ht="15.75" customHeight="1">
      <c r="A628" s="34"/>
    </row>
    <row r="629" ht="15.75" customHeight="1">
      <c r="A629" s="34"/>
    </row>
    <row r="630" ht="15.75" customHeight="1">
      <c r="A630" s="34"/>
    </row>
    <row r="631" ht="15.75" customHeight="1">
      <c r="A631" s="34"/>
    </row>
    <row r="632" ht="15.75" customHeight="1">
      <c r="A632" s="34"/>
    </row>
    <row r="633" ht="15.75" customHeight="1">
      <c r="A633" s="34"/>
    </row>
    <row r="634" ht="15.75" customHeight="1">
      <c r="A634" s="34"/>
    </row>
    <row r="635" ht="15.75" customHeight="1">
      <c r="A635" s="34"/>
    </row>
    <row r="636" ht="15.75" customHeight="1">
      <c r="A636" s="34"/>
    </row>
    <row r="637" ht="15.75" customHeight="1">
      <c r="A637" s="34"/>
    </row>
    <row r="638" ht="15.75" customHeight="1">
      <c r="A638" s="34"/>
    </row>
    <row r="639" ht="15.75" customHeight="1">
      <c r="A639" s="34"/>
    </row>
    <row r="640" ht="15.75" customHeight="1">
      <c r="A640" s="34"/>
    </row>
    <row r="641" ht="15.75" customHeight="1">
      <c r="A641" s="34"/>
    </row>
    <row r="642" ht="15.75" customHeight="1">
      <c r="A642" s="34"/>
    </row>
    <row r="643" ht="15.75" customHeight="1">
      <c r="A643" s="34"/>
    </row>
    <row r="644" ht="15.75" customHeight="1">
      <c r="A644" s="34"/>
    </row>
    <row r="645" ht="15.75" customHeight="1">
      <c r="A645" s="34"/>
    </row>
    <row r="646" ht="15.75" customHeight="1">
      <c r="A646" s="34"/>
    </row>
    <row r="647" ht="15.75" customHeight="1">
      <c r="A647" s="34"/>
    </row>
    <row r="648" ht="15.75" customHeight="1">
      <c r="A648" s="34"/>
    </row>
    <row r="649" ht="15.75" customHeight="1">
      <c r="A649" s="34"/>
    </row>
    <row r="650" ht="15.75" customHeight="1">
      <c r="A650" s="34"/>
    </row>
    <row r="651" ht="15.75" customHeight="1">
      <c r="A651" s="34"/>
    </row>
    <row r="652" ht="15.75" customHeight="1">
      <c r="A652" s="34"/>
    </row>
    <row r="653" ht="15.75" customHeight="1">
      <c r="A653" s="34"/>
    </row>
    <row r="654" ht="15.75" customHeight="1">
      <c r="A654" s="34"/>
    </row>
    <row r="655" ht="15.75" customHeight="1">
      <c r="A655" s="34"/>
    </row>
    <row r="656" ht="15.75" customHeight="1">
      <c r="A656" s="34"/>
    </row>
    <row r="657" ht="15.75" customHeight="1">
      <c r="A657" s="34"/>
    </row>
    <row r="658" ht="15.75" customHeight="1">
      <c r="A658" s="34"/>
    </row>
    <row r="659" ht="15.75" customHeight="1">
      <c r="A659" s="34"/>
    </row>
    <row r="660" ht="15.75" customHeight="1">
      <c r="A660" s="34"/>
    </row>
    <row r="661" ht="15.75" customHeight="1">
      <c r="A661" s="34"/>
    </row>
    <row r="662" ht="15.75" customHeight="1">
      <c r="A662" s="34"/>
    </row>
    <row r="663" ht="15.75" customHeight="1">
      <c r="A663" s="34"/>
    </row>
    <row r="664" ht="15.75" customHeight="1">
      <c r="A664" s="34"/>
    </row>
    <row r="665" ht="15.75" customHeight="1">
      <c r="A665" s="34"/>
    </row>
    <row r="666" ht="15.75" customHeight="1">
      <c r="A666" s="34"/>
    </row>
    <row r="667" ht="15.75" customHeight="1">
      <c r="A667" s="34"/>
    </row>
    <row r="668" ht="15.75" customHeight="1">
      <c r="A668" s="34"/>
    </row>
    <row r="669" ht="15.75" customHeight="1">
      <c r="A669" s="34"/>
    </row>
    <row r="670" ht="15.75" customHeight="1">
      <c r="A670" s="34"/>
    </row>
    <row r="671" ht="15.75" customHeight="1">
      <c r="A671" s="34"/>
    </row>
    <row r="672" ht="15.75" customHeight="1">
      <c r="A672" s="34"/>
    </row>
    <row r="673" ht="15.75" customHeight="1">
      <c r="A673" s="34"/>
    </row>
    <row r="674" ht="15.75" customHeight="1">
      <c r="A674" s="34"/>
    </row>
    <row r="675" ht="15.75" customHeight="1">
      <c r="A675" s="34"/>
    </row>
    <row r="676" ht="15.75" customHeight="1">
      <c r="A676" s="34"/>
    </row>
    <row r="677" ht="15.75" customHeight="1">
      <c r="A677" s="34"/>
    </row>
    <row r="678" ht="15.75" customHeight="1">
      <c r="A678" s="34"/>
    </row>
    <row r="679" ht="15.75" customHeight="1">
      <c r="A679" s="34"/>
    </row>
    <row r="680" ht="15.75" customHeight="1">
      <c r="A680" s="34"/>
    </row>
    <row r="681" ht="15.75" customHeight="1">
      <c r="A681" s="34"/>
    </row>
    <row r="682" ht="15.75" customHeight="1">
      <c r="A682" s="34"/>
    </row>
    <row r="683" ht="15.75" customHeight="1">
      <c r="A683" s="34"/>
    </row>
    <row r="684" ht="15.75" customHeight="1">
      <c r="A684" s="34"/>
    </row>
    <row r="685" ht="15.75" customHeight="1">
      <c r="A685" s="34"/>
    </row>
    <row r="686" ht="15.75" customHeight="1">
      <c r="A686" s="34"/>
    </row>
    <row r="687" ht="15.75" customHeight="1">
      <c r="A687" s="34"/>
    </row>
    <row r="688" ht="15.75" customHeight="1">
      <c r="A688" s="34"/>
    </row>
    <row r="689" ht="15.75" customHeight="1">
      <c r="A689" s="34"/>
    </row>
    <row r="690" ht="15.75" customHeight="1">
      <c r="A690" s="34"/>
    </row>
    <row r="691" ht="15.75" customHeight="1">
      <c r="A691" s="34"/>
    </row>
    <row r="692" ht="15.75" customHeight="1">
      <c r="A692" s="34"/>
    </row>
    <row r="693" ht="15.75" customHeight="1">
      <c r="A693" s="34"/>
    </row>
    <row r="694" ht="15.75" customHeight="1">
      <c r="A694" s="34"/>
    </row>
    <row r="695" ht="15.75" customHeight="1">
      <c r="A695" s="34"/>
    </row>
    <row r="696" ht="15.75" customHeight="1">
      <c r="A696" s="34"/>
    </row>
    <row r="697" ht="15.75" customHeight="1">
      <c r="A697" s="34"/>
    </row>
    <row r="698" ht="15.75" customHeight="1">
      <c r="A698" s="34"/>
    </row>
    <row r="699" ht="15.75" customHeight="1">
      <c r="A699" s="34"/>
    </row>
    <row r="700" ht="15.75" customHeight="1">
      <c r="A700" s="34"/>
    </row>
    <row r="701" ht="15.75" customHeight="1">
      <c r="A701" s="34"/>
    </row>
    <row r="702" ht="15.75" customHeight="1">
      <c r="A702" s="34"/>
    </row>
    <row r="703" ht="15.75" customHeight="1">
      <c r="A703" s="34"/>
    </row>
    <row r="704" ht="15.75" customHeight="1">
      <c r="A704" s="34"/>
    </row>
    <row r="705" ht="15.75" customHeight="1">
      <c r="A705" s="34"/>
    </row>
    <row r="706" ht="15.75" customHeight="1">
      <c r="A706" s="34"/>
    </row>
    <row r="707" ht="15.75" customHeight="1">
      <c r="A707" s="34"/>
    </row>
    <row r="708" ht="15.75" customHeight="1">
      <c r="A708" s="34"/>
    </row>
    <row r="709" ht="15.75" customHeight="1">
      <c r="A709" s="34"/>
    </row>
    <row r="710" ht="15.75" customHeight="1">
      <c r="A710" s="34"/>
    </row>
    <row r="711" ht="15.75" customHeight="1">
      <c r="A711" s="34"/>
    </row>
    <row r="712" ht="15.75" customHeight="1">
      <c r="A712" s="34"/>
    </row>
    <row r="713" ht="15.75" customHeight="1">
      <c r="A713" s="34"/>
    </row>
    <row r="714" ht="15.75" customHeight="1">
      <c r="A714" s="34"/>
    </row>
    <row r="715" ht="15.75" customHeight="1">
      <c r="A715" s="34"/>
    </row>
    <row r="716" ht="15.75" customHeight="1">
      <c r="A716" s="34"/>
    </row>
    <row r="717" ht="15.75" customHeight="1">
      <c r="A717" s="34"/>
    </row>
    <row r="718" ht="15.75" customHeight="1">
      <c r="A718" s="34"/>
    </row>
    <row r="719" ht="15.75" customHeight="1">
      <c r="A719" s="34"/>
    </row>
    <row r="720" ht="15.75" customHeight="1">
      <c r="A720" s="34"/>
    </row>
    <row r="721" ht="15.75" customHeight="1">
      <c r="A721" s="34"/>
    </row>
    <row r="722" ht="15.75" customHeight="1">
      <c r="A722" s="34"/>
    </row>
    <row r="723" ht="15.75" customHeight="1">
      <c r="A723" s="34"/>
    </row>
    <row r="724" ht="15.75" customHeight="1">
      <c r="A724" s="34"/>
    </row>
    <row r="725" ht="15.75" customHeight="1">
      <c r="A725" s="34"/>
    </row>
    <row r="726" ht="15.75" customHeight="1">
      <c r="A726" s="34"/>
    </row>
    <row r="727" ht="15.75" customHeight="1">
      <c r="A727" s="34"/>
    </row>
    <row r="728" ht="15.75" customHeight="1">
      <c r="A728" s="34"/>
    </row>
    <row r="729" ht="15.75" customHeight="1">
      <c r="A729" s="34"/>
    </row>
    <row r="730" ht="15.75" customHeight="1">
      <c r="A730" s="34"/>
    </row>
    <row r="731" ht="15.75" customHeight="1">
      <c r="A731" s="34"/>
    </row>
    <row r="732" ht="15.75" customHeight="1">
      <c r="A732" s="34"/>
    </row>
    <row r="733" ht="15.75" customHeight="1">
      <c r="A733" s="34"/>
    </row>
    <row r="734" ht="15.75" customHeight="1">
      <c r="A734" s="34"/>
    </row>
    <row r="735" ht="15.75" customHeight="1">
      <c r="A735" s="34"/>
    </row>
    <row r="736" ht="15.75" customHeight="1">
      <c r="A736" s="34"/>
    </row>
    <row r="737" ht="15.75" customHeight="1">
      <c r="A737" s="34"/>
    </row>
    <row r="738" ht="15.75" customHeight="1">
      <c r="A738" s="34"/>
    </row>
    <row r="739" ht="15.75" customHeight="1">
      <c r="A739" s="34"/>
    </row>
    <row r="740" ht="15.75" customHeight="1">
      <c r="A740" s="34"/>
    </row>
    <row r="741" ht="15.75" customHeight="1">
      <c r="A741" s="34"/>
    </row>
    <row r="742" ht="15.75" customHeight="1">
      <c r="A742" s="34"/>
    </row>
    <row r="743" ht="15.75" customHeight="1">
      <c r="A743" s="34"/>
    </row>
    <row r="744" ht="15.75" customHeight="1">
      <c r="A744" s="34"/>
    </row>
    <row r="745" ht="15.75" customHeight="1">
      <c r="A745" s="34"/>
    </row>
    <row r="746" ht="15.75" customHeight="1">
      <c r="A746" s="34"/>
    </row>
    <row r="747" ht="15.75" customHeight="1">
      <c r="A747" s="34"/>
    </row>
    <row r="748" ht="15.75" customHeight="1">
      <c r="A748" s="34"/>
    </row>
    <row r="749" ht="15.75" customHeight="1">
      <c r="A749" s="34"/>
    </row>
    <row r="750" ht="15.75" customHeight="1">
      <c r="A750" s="34"/>
    </row>
    <row r="751" ht="15.75" customHeight="1">
      <c r="A751" s="34"/>
    </row>
    <row r="752" ht="15.75" customHeight="1">
      <c r="A752" s="34"/>
    </row>
    <row r="753" ht="15.75" customHeight="1">
      <c r="A753" s="34"/>
    </row>
    <row r="754" ht="15.75" customHeight="1">
      <c r="A754" s="34"/>
    </row>
    <row r="755" ht="15.75" customHeight="1">
      <c r="A755" s="34"/>
    </row>
    <row r="756" ht="15.75" customHeight="1">
      <c r="A756" s="34"/>
    </row>
    <row r="757" ht="15.75" customHeight="1">
      <c r="A757" s="34"/>
    </row>
    <row r="758" ht="15.75" customHeight="1">
      <c r="A758" s="34"/>
    </row>
    <row r="759" ht="15.75" customHeight="1">
      <c r="A759" s="34"/>
    </row>
    <row r="760" ht="15.75" customHeight="1">
      <c r="A760" s="34"/>
    </row>
    <row r="761" ht="15.75" customHeight="1">
      <c r="A761" s="34"/>
    </row>
    <row r="762" ht="15.75" customHeight="1">
      <c r="A762" s="34"/>
    </row>
    <row r="763" ht="15.75" customHeight="1">
      <c r="A763" s="34"/>
    </row>
    <row r="764" ht="15.75" customHeight="1">
      <c r="A764" s="34"/>
    </row>
    <row r="765" ht="15.75" customHeight="1">
      <c r="A765" s="34"/>
    </row>
    <row r="766" ht="15.75" customHeight="1">
      <c r="A766" s="34"/>
    </row>
    <row r="767" ht="15.75" customHeight="1">
      <c r="A767" s="34"/>
    </row>
    <row r="768" ht="15.75" customHeight="1">
      <c r="A768" s="34"/>
    </row>
    <row r="769" ht="15.75" customHeight="1">
      <c r="A769" s="34"/>
    </row>
    <row r="770" ht="15.75" customHeight="1">
      <c r="A770" s="34"/>
    </row>
    <row r="771" ht="15.75" customHeight="1">
      <c r="A771" s="34"/>
    </row>
    <row r="772" ht="15.75" customHeight="1">
      <c r="A772" s="34"/>
    </row>
    <row r="773" ht="15.75" customHeight="1">
      <c r="A773" s="34"/>
    </row>
    <row r="774" ht="15.75" customHeight="1">
      <c r="A774" s="34"/>
    </row>
    <row r="775" ht="15.75" customHeight="1">
      <c r="A775" s="34"/>
    </row>
    <row r="776" ht="15.75" customHeight="1">
      <c r="A776" s="34"/>
    </row>
    <row r="777" ht="15.75" customHeight="1">
      <c r="A777" s="34"/>
    </row>
    <row r="778" ht="15.75" customHeight="1">
      <c r="A778" s="34"/>
    </row>
    <row r="779" ht="15.75" customHeight="1">
      <c r="A779" s="34"/>
    </row>
    <row r="780" ht="15.75" customHeight="1">
      <c r="A780" s="34"/>
    </row>
    <row r="781" ht="15.75" customHeight="1">
      <c r="A781" s="34"/>
    </row>
    <row r="782" ht="15.75" customHeight="1">
      <c r="A782" s="34"/>
    </row>
    <row r="783" ht="15.75" customHeight="1">
      <c r="A783" s="34"/>
    </row>
    <row r="784" ht="15.75" customHeight="1">
      <c r="A784" s="34"/>
    </row>
    <row r="785" ht="15.75" customHeight="1">
      <c r="A785" s="34"/>
    </row>
    <row r="786" ht="15.75" customHeight="1">
      <c r="A786" s="34"/>
    </row>
    <row r="787" ht="15.75" customHeight="1">
      <c r="A787" s="34"/>
    </row>
    <row r="788" ht="15.75" customHeight="1">
      <c r="A788" s="34"/>
    </row>
    <row r="789" ht="15.75" customHeight="1">
      <c r="A789" s="34"/>
    </row>
    <row r="790" ht="15.75" customHeight="1">
      <c r="A790" s="34"/>
    </row>
    <row r="791" ht="15.75" customHeight="1">
      <c r="A791" s="34"/>
    </row>
    <row r="792" ht="15.75" customHeight="1">
      <c r="A792" s="34"/>
    </row>
    <row r="793" ht="15.75" customHeight="1">
      <c r="A793" s="34"/>
    </row>
    <row r="794" ht="15.75" customHeight="1">
      <c r="A794" s="34"/>
    </row>
    <row r="795" ht="15.75" customHeight="1">
      <c r="A795" s="34"/>
    </row>
    <row r="796" ht="15.75" customHeight="1">
      <c r="A796" s="34"/>
    </row>
    <row r="797" ht="15.75" customHeight="1">
      <c r="A797" s="34"/>
    </row>
    <row r="798" ht="15.75" customHeight="1">
      <c r="A798" s="34"/>
    </row>
    <row r="799" ht="15.75" customHeight="1">
      <c r="A799" s="34"/>
    </row>
    <row r="800" ht="15.75" customHeight="1">
      <c r="A800" s="34"/>
    </row>
    <row r="801" ht="15.75" customHeight="1">
      <c r="A801" s="34"/>
    </row>
    <row r="802" ht="15.75" customHeight="1">
      <c r="A802" s="34"/>
    </row>
    <row r="803" ht="15.75" customHeight="1">
      <c r="A803" s="34"/>
    </row>
    <row r="804" ht="15.75" customHeight="1">
      <c r="A804" s="34"/>
    </row>
    <row r="805" ht="15.75" customHeight="1">
      <c r="A805" s="34"/>
    </row>
    <row r="806" ht="15.75" customHeight="1">
      <c r="A806" s="34"/>
    </row>
    <row r="807" ht="15.75" customHeight="1">
      <c r="A807" s="34"/>
    </row>
    <row r="808" ht="15.75" customHeight="1">
      <c r="A808" s="34"/>
    </row>
    <row r="809" ht="15.75" customHeight="1">
      <c r="A809" s="34"/>
    </row>
    <row r="810" ht="15.75" customHeight="1">
      <c r="A810" s="34"/>
    </row>
    <row r="811" ht="15.75" customHeight="1">
      <c r="A811" s="34"/>
    </row>
    <row r="812" ht="15.75" customHeight="1">
      <c r="A812" s="34"/>
    </row>
    <row r="813" ht="15.75" customHeight="1">
      <c r="A813" s="34"/>
    </row>
    <row r="814" ht="15.75" customHeight="1">
      <c r="A814" s="34"/>
    </row>
    <row r="815" ht="15.75" customHeight="1">
      <c r="A815" s="34"/>
    </row>
    <row r="816" ht="15.75" customHeight="1">
      <c r="A816" s="34"/>
    </row>
    <row r="817" ht="15.75" customHeight="1">
      <c r="A817" s="34"/>
    </row>
    <row r="818" ht="15.75" customHeight="1">
      <c r="A818" s="34"/>
    </row>
    <row r="819" ht="15.75" customHeight="1">
      <c r="A819" s="34"/>
    </row>
    <row r="820" ht="15.75" customHeight="1">
      <c r="A820" s="34"/>
    </row>
    <row r="821" ht="15.75" customHeight="1">
      <c r="A821" s="34"/>
    </row>
    <row r="822" ht="15.75" customHeight="1">
      <c r="A822" s="34"/>
    </row>
    <row r="823" ht="15.75" customHeight="1">
      <c r="A823" s="34"/>
    </row>
    <row r="824" ht="15.75" customHeight="1">
      <c r="A824" s="34"/>
    </row>
    <row r="825" ht="15.75" customHeight="1">
      <c r="A825" s="34"/>
    </row>
    <row r="826" ht="15.75" customHeight="1">
      <c r="A826" s="34"/>
    </row>
    <row r="827" ht="15.75" customHeight="1">
      <c r="A827" s="34"/>
    </row>
    <row r="828" ht="15.75" customHeight="1">
      <c r="A828" s="34"/>
    </row>
    <row r="829" ht="15.75" customHeight="1">
      <c r="A829" s="34"/>
    </row>
    <row r="830" ht="15.75" customHeight="1">
      <c r="A830" s="34"/>
    </row>
    <row r="831" ht="15.75" customHeight="1">
      <c r="A831" s="34"/>
    </row>
    <row r="832" ht="15.75" customHeight="1">
      <c r="A832" s="34"/>
    </row>
    <row r="833" ht="15.75" customHeight="1">
      <c r="A833" s="34"/>
    </row>
    <row r="834" ht="15.75" customHeight="1">
      <c r="A834" s="34"/>
    </row>
    <row r="835" ht="15.75" customHeight="1">
      <c r="A835" s="34"/>
    </row>
    <row r="836" ht="15.75" customHeight="1">
      <c r="A836" s="34"/>
    </row>
    <row r="837" ht="15.75" customHeight="1">
      <c r="A837" s="34"/>
    </row>
    <row r="838" ht="15.75" customHeight="1">
      <c r="A838" s="34"/>
    </row>
    <row r="839" ht="15.75" customHeight="1">
      <c r="A839" s="34"/>
    </row>
    <row r="840" ht="15.75" customHeight="1">
      <c r="A840" s="34"/>
    </row>
    <row r="841" ht="15.75" customHeight="1">
      <c r="A841" s="34"/>
    </row>
    <row r="842" ht="15.75" customHeight="1">
      <c r="A842" s="34"/>
    </row>
    <row r="843" ht="15.75" customHeight="1">
      <c r="A843" s="34"/>
    </row>
    <row r="844" ht="15.75" customHeight="1">
      <c r="A844" s="34"/>
    </row>
    <row r="845" ht="15.75" customHeight="1">
      <c r="A845" s="34"/>
    </row>
    <row r="846" ht="15.75" customHeight="1">
      <c r="A846" s="34"/>
    </row>
    <row r="847" ht="15.75" customHeight="1">
      <c r="A847" s="34"/>
    </row>
    <row r="848" ht="15.75" customHeight="1">
      <c r="A848" s="34"/>
    </row>
    <row r="849" ht="15.75" customHeight="1">
      <c r="A849" s="34"/>
    </row>
    <row r="850" ht="15.75" customHeight="1">
      <c r="A850" s="34"/>
    </row>
    <row r="851" ht="15.75" customHeight="1">
      <c r="A851" s="34"/>
    </row>
    <row r="852" ht="15.75" customHeight="1">
      <c r="A852" s="34"/>
    </row>
    <row r="853" ht="15.75" customHeight="1">
      <c r="A853" s="34"/>
    </row>
    <row r="854" ht="15.75" customHeight="1">
      <c r="A854" s="34"/>
    </row>
    <row r="855" ht="15.75" customHeight="1">
      <c r="A855" s="34"/>
    </row>
    <row r="856" ht="15.75" customHeight="1">
      <c r="A856" s="34"/>
    </row>
    <row r="857" ht="15.75" customHeight="1">
      <c r="A857" s="34"/>
    </row>
    <row r="858" ht="15.75" customHeight="1">
      <c r="A858" s="34"/>
    </row>
    <row r="859" ht="15.75" customHeight="1">
      <c r="A859" s="34"/>
    </row>
    <row r="860" ht="15.75" customHeight="1">
      <c r="A860" s="34"/>
    </row>
    <row r="861" ht="15.75" customHeight="1">
      <c r="A861" s="34"/>
    </row>
    <row r="862" ht="15.75" customHeight="1">
      <c r="A862" s="34"/>
    </row>
    <row r="863" ht="15.75" customHeight="1">
      <c r="A863" s="34"/>
    </row>
    <row r="864" ht="15.75" customHeight="1">
      <c r="A864" s="34"/>
    </row>
    <row r="865" ht="15.75" customHeight="1">
      <c r="A865" s="34"/>
    </row>
    <row r="866" ht="15.75" customHeight="1">
      <c r="A866" s="34"/>
    </row>
    <row r="867" ht="15.75" customHeight="1">
      <c r="A867" s="34"/>
    </row>
    <row r="868" ht="15.75" customHeight="1">
      <c r="A868" s="34"/>
    </row>
    <row r="869" ht="15.75" customHeight="1">
      <c r="A869" s="34"/>
    </row>
    <row r="870" ht="15.75" customHeight="1">
      <c r="A870" s="34"/>
    </row>
    <row r="871" ht="15.75" customHeight="1">
      <c r="A871" s="34"/>
    </row>
    <row r="872" ht="15.75" customHeight="1">
      <c r="A872" s="34"/>
    </row>
    <row r="873" ht="15.75" customHeight="1">
      <c r="A873" s="34"/>
    </row>
    <row r="874" ht="15.75" customHeight="1">
      <c r="A874" s="34"/>
    </row>
    <row r="875" ht="15.75" customHeight="1">
      <c r="A875" s="34"/>
    </row>
    <row r="876" ht="15.75" customHeight="1">
      <c r="A876" s="34"/>
    </row>
    <row r="877" ht="15.75" customHeight="1">
      <c r="A877" s="34"/>
    </row>
    <row r="878" ht="15.75" customHeight="1">
      <c r="A878" s="34"/>
    </row>
    <row r="879" ht="15.75" customHeight="1">
      <c r="A879" s="34"/>
    </row>
    <row r="880" ht="15.75" customHeight="1">
      <c r="A880" s="34"/>
    </row>
    <row r="881" ht="15.75" customHeight="1">
      <c r="A881" s="34"/>
    </row>
    <row r="882" ht="15.75" customHeight="1">
      <c r="A882" s="34"/>
    </row>
    <row r="883" ht="15.75" customHeight="1">
      <c r="A883" s="34"/>
    </row>
    <row r="884" ht="15.75" customHeight="1">
      <c r="A884" s="34"/>
    </row>
    <row r="885" ht="15.75" customHeight="1">
      <c r="A885" s="34"/>
    </row>
    <row r="886" ht="15.75" customHeight="1">
      <c r="A886" s="34"/>
    </row>
    <row r="887" ht="15.75" customHeight="1">
      <c r="A887" s="34"/>
    </row>
    <row r="888" ht="15.75" customHeight="1">
      <c r="A888" s="34"/>
    </row>
    <row r="889" ht="15.75" customHeight="1">
      <c r="A889" s="34"/>
    </row>
    <row r="890" ht="15.75" customHeight="1">
      <c r="A890" s="34"/>
    </row>
    <row r="891" ht="15.75" customHeight="1">
      <c r="A891" s="34"/>
    </row>
    <row r="892" ht="15.75" customHeight="1">
      <c r="A892" s="34"/>
    </row>
    <row r="893" ht="15.75" customHeight="1">
      <c r="A893" s="34"/>
    </row>
    <row r="894" ht="15.75" customHeight="1">
      <c r="A894" s="34"/>
    </row>
    <row r="895" ht="15.75" customHeight="1">
      <c r="A895" s="34"/>
    </row>
    <row r="896" ht="15.75" customHeight="1">
      <c r="A896" s="34"/>
    </row>
    <row r="897" ht="15.75" customHeight="1">
      <c r="A897" s="34"/>
    </row>
    <row r="898" ht="15.75" customHeight="1">
      <c r="A898" s="34"/>
    </row>
    <row r="899" ht="15.75" customHeight="1">
      <c r="A899" s="34"/>
    </row>
    <row r="900" ht="15.75" customHeight="1">
      <c r="A900" s="34"/>
    </row>
    <row r="901" ht="15.75" customHeight="1">
      <c r="A901" s="34"/>
    </row>
    <row r="902" ht="15.75" customHeight="1">
      <c r="A902" s="34"/>
    </row>
    <row r="903" ht="15.75" customHeight="1">
      <c r="A903" s="34"/>
    </row>
    <row r="904" ht="15.75" customHeight="1">
      <c r="A904" s="34"/>
    </row>
    <row r="905" ht="15.75" customHeight="1">
      <c r="A905" s="34"/>
    </row>
    <row r="906" ht="15.75" customHeight="1">
      <c r="A906" s="34"/>
    </row>
    <row r="907" ht="15.75" customHeight="1">
      <c r="A907" s="34"/>
    </row>
    <row r="908" ht="15.75" customHeight="1">
      <c r="A908" s="34"/>
    </row>
    <row r="909" ht="15.75" customHeight="1">
      <c r="A909" s="34"/>
    </row>
    <row r="910" ht="15.75" customHeight="1">
      <c r="A910" s="34"/>
    </row>
    <row r="911" ht="15.75" customHeight="1">
      <c r="A911" s="34"/>
    </row>
    <row r="912" ht="15.75" customHeight="1">
      <c r="A912" s="34"/>
    </row>
    <row r="913" ht="15.75" customHeight="1">
      <c r="A913" s="34"/>
    </row>
    <row r="914" ht="15.75" customHeight="1">
      <c r="A914" s="34"/>
    </row>
    <row r="915" ht="15.75" customHeight="1">
      <c r="A915" s="34"/>
    </row>
    <row r="916" ht="15.75" customHeight="1">
      <c r="A916" s="34"/>
    </row>
    <row r="917" ht="15.75" customHeight="1">
      <c r="A917" s="34"/>
    </row>
    <row r="918" ht="15.75" customHeight="1">
      <c r="A918" s="34"/>
    </row>
    <row r="919" ht="15.75" customHeight="1">
      <c r="A919" s="34"/>
    </row>
    <row r="920" ht="15.75" customHeight="1">
      <c r="A920" s="34"/>
    </row>
    <row r="921" ht="15.75" customHeight="1">
      <c r="A921" s="34"/>
    </row>
    <row r="922" ht="15.75" customHeight="1">
      <c r="A922" s="34"/>
    </row>
    <row r="923" ht="15.75" customHeight="1">
      <c r="A923" s="34"/>
    </row>
    <row r="924" ht="15.75" customHeight="1">
      <c r="A924" s="34"/>
    </row>
    <row r="925" ht="15.75" customHeight="1">
      <c r="A925" s="34"/>
    </row>
    <row r="926" ht="15.75" customHeight="1">
      <c r="A926" s="34"/>
    </row>
    <row r="927" ht="15.75" customHeight="1">
      <c r="A927" s="34"/>
    </row>
    <row r="928" ht="15.75" customHeight="1">
      <c r="A928" s="34"/>
    </row>
    <row r="929" ht="15.75" customHeight="1">
      <c r="A929" s="34"/>
    </row>
    <row r="930" ht="15.75" customHeight="1">
      <c r="A930" s="34"/>
    </row>
    <row r="931" ht="15.75" customHeight="1">
      <c r="A931" s="34"/>
    </row>
    <row r="932" ht="15.75" customHeight="1">
      <c r="A932" s="34"/>
    </row>
    <row r="933" ht="15.75" customHeight="1">
      <c r="A933" s="34"/>
    </row>
    <row r="934" ht="15.75" customHeight="1">
      <c r="A934" s="34"/>
    </row>
    <row r="935" ht="15.75" customHeight="1">
      <c r="A935" s="34"/>
    </row>
    <row r="936" ht="15.75" customHeight="1">
      <c r="A936" s="34"/>
    </row>
    <row r="937" ht="15.75" customHeight="1">
      <c r="A937" s="34"/>
    </row>
    <row r="938" ht="15.75" customHeight="1">
      <c r="A938" s="34"/>
    </row>
    <row r="939" ht="15.75" customHeight="1">
      <c r="A939" s="34"/>
    </row>
    <row r="940" ht="15.75" customHeight="1">
      <c r="A940" s="34"/>
    </row>
    <row r="941" ht="15.75" customHeight="1">
      <c r="A941" s="34"/>
    </row>
    <row r="942" ht="15.75" customHeight="1">
      <c r="A942" s="34"/>
    </row>
    <row r="943" ht="15.75" customHeight="1">
      <c r="A943" s="34"/>
    </row>
    <row r="944" ht="15.75" customHeight="1">
      <c r="A944" s="34"/>
    </row>
    <row r="945" ht="15.75" customHeight="1">
      <c r="A945" s="34"/>
    </row>
    <row r="946" ht="15.75" customHeight="1">
      <c r="A946" s="34"/>
    </row>
    <row r="947" ht="15.75" customHeight="1">
      <c r="A947" s="34"/>
    </row>
    <row r="948" ht="15.75" customHeight="1">
      <c r="A948" s="34"/>
    </row>
    <row r="949" ht="15.75" customHeight="1">
      <c r="A949" s="34"/>
    </row>
    <row r="950" ht="15.75" customHeight="1">
      <c r="A950" s="34"/>
    </row>
    <row r="951" ht="15.75" customHeight="1">
      <c r="A951" s="34"/>
    </row>
    <row r="952" ht="15.75" customHeight="1">
      <c r="A952" s="34"/>
    </row>
    <row r="953" ht="15.75" customHeight="1">
      <c r="A953" s="34"/>
    </row>
    <row r="954" ht="15.75" customHeight="1">
      <c r="A954" s="34"/>
    </row>
    <row r="955" ht="15.75" customHeight="1">
      <c r="A955" s="34"/>
    </row>
    <row r="956" ht="15.75" customHeight="1">
      <c r="A956" s="34"/>
    </row>
    <row r="957" ht="15.75" customHeight="1">
      <c r="A957" s="34"/>
    </row>
    <row r="958" ht="15.75" customHeight="1">
      <c r="A958" s="34"/>
    </row>
    <row r="959" ht="15.75" customHeight="1">
      <c r="A959" s="34"/>
    </row>
    <row r="960" ht="15.75" customHeight="1">
      <c r="A960" s="34"/>
    </row>
    <row r="961" ht="15.75" customHeight="1">
      <c r="A961" s="34"/>
    </row>
    <row r="962" ht="15.75" customHeight="1">
      <c r="A962" s="34"/>
    </row>
    <row r="963" ht="15.75" customHeight="1">
      <c r="A963" s="34"/>
    </row>
    <row r="964" ht="15.75" customHeight="1">
      <c r="A964" s="34"/>
    </row>
    <row r="965" ht="15.75" customHeight="1">
      <c r="A965" s="34"/>
    </row>
    <row r="966" ht="15.75" customHeight="1">
      <c r="A966" s="34"/>
    </row>
    <row r="967" ht="15.75" customHeight="1">
      <c r="A967" s="34"/>
    </row>
    <row r="968" ht="15.75" customHeight="1">
      <c r="A968" s="34"/>
    </row>
    <row r="969" ht="15.75" customHeight="1">
      <c r="A969" s="34"/>
    </row>
    <row r="970" ht="15.75" customHeight="1">
      <c r="A970" s="34"/>
    </row>
    <row r="971" ht="15.75" customHeight="1">
      <c r="A971" s="34"/>
    </row>
    <row r="972" ht="15.75" customHeight="1">
      <c r="A972" s="34"/>
    </row>
    <row r="973" ht="15.75" customHeight="1">
      <c r="A973" s="34"/>
    </row>
    <row r="974" ht="15.75" customHeight="1">
      <c r="A974" s="34"/>
    </row>
    <row r="975" ht="15.75" customHeight="1">
      <c r="A975" s="34"/>
    </row>
    <row r="976" ht="15.75" customHeight="1">
      <c r="A976" s="34"/>
    </row>
    <row r="977" ht="15.75" customHeight="1">
      <c r="A977" s="34"/>
    </row>
    <row r="978" ht="15.75" customHeight="1">
      <c r="A978" s="34"/>
    </row>
    <row r="979" ht="15.75" customHeight="1">
      <c r="A979" s="34"/>
    </row>
    <row r="980" ht="15.75" customHeight="1">
      <c r="A980" s="34"/>
    </row>
    <row r="981" ht="15.75" customHeight="1">
      <c r="A981" s="34"/>
    </row>
    <row r="982" ht="15.75" customHeight="1">
      <c r="A982" s="34"/>
    </row>
    <row r="983" ht="15.75" customHeight="1">
      <c r="A983" s="34"/>
    </row>
    <row r="984" ht="15.75" customHeight="1">
      <c r="A984" s="34"/>
    </row>
    <row r="985" ht="15.75" customHeight="1">
      <c r="A985" s="34"/>
    </row>
    <row r="986" ht="15.75" customHeight="1">
      <c r="A986" s="34"/>
    </row>
    <row r="987" ht="15.75" customHeight="1">
      <c r="A987" s="34"/>
    </row>
    <row r="988" ht="15.75" customHeight="1">
      <c r="A988" s="34"/>
    </row>
    <row r="989" ht="15.75" customHeight="1">
      <c r="A989" s="34"/>
    </row>
    <row r="990" ht="15.75" customHeight="1">
      <c r="A990" s="34"/>
    </row>
    <row r="991" ht="15.75" customHeight="1">
      <c r="A991" s="34"/>
    </row>
    <row r="992" ht="15.75" customHeight="1">
      <c r="A992" s="34"/>
    </row>
    <row r="993" ht="15.75" customHeight="1">
      <c r="A993" s="34"/>
    </row>
    <row r="994" ht="15.75" customHeight="1">
      <c r="A994" s="34"/>
    </row>
    <row r="995" ht="15.75" customHeight="1">
      <c r="A995" s="34"/>
    </row>
    <row r="996" ht="15.75" customHeight="1">
      <c r="A996" s="34"/>
    </row>
    <row r="997" ht="15.75" customHeight="1">
      <c r="A997" s="34"/>
    </row>
    <row r="998" ht="15.75" customHeight="1">
      <c r="A998" s="34"/>
    </row>
    <row r="999" ht="15.75" customHeight="1">
      <c r="A999" s="34"/>
    </row>
    <row r="1000" ht="15.75" customHeight="1">
      <c r="A1000" s="3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12.44"/>
    <col customWidth="1" min="3" max="3" width="17.22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11"/>
    <col customWidth="1" min="2" max="2" width="12.67"/>
    <col customWidth="1" min="3" max="26" width="10.56"/>
  </cols>
  <sheetData>
    <row r="1" ht="15.75" customHeight="1">
      <c r="A1" s="36" t="s">
        <v>93</v>
      </c>
      <c r="B1" s="5">
        <f>SUM('Facebook Ads Data'!D2:D366)</f>
        <v>513800.43</v>
      </c>
    </row>
    <row r="2" ht="15.75" customHeight="1">
      <c r="A2" s="36" t="s">
        <v>94</v>
      </c>
      <c r="B2" s="8">
        <f>SUM('Facebook Ads Data'!C2:C366)</f>
        <v>526188</v>
      </c>
    </row>
    <row r="3" ht="15.75" customHeight="1">
      <c r="A3" s="36" t="s">
        <v>95</v>
      </c>
      <c r="B3" s="8">
        <f>SUM('Facebook Ads Data'!B1:B366)</f>
        <v>25104458</v>
      </c>
    </row>
    <row r="4" ht="15.75" customHeight="1">
      <c r="A4" s="36" t="s">
        <v>96</v>
      </c>
      <c r="B4" s="7">
        <f>(SUM('Facebook Ads Data'!D2:D366))/(SUM('Facebook Ads Data'!C366))</f>
        <v>251.0016756</v>
      </c>
    </row>
    <row r="5" ht="15.75" customHeight="1">
      <c r="A5" s="36" t="s">
        <v>97</v>
      </c>
      <c r="B5" s="5">
        <f>(SUM('Facebook Ads Data'!D2:D366)/SUM('Facebook Ads Data'!B2:B366))*1000</f>
        <v>20.46650161</v>
      </c>
    </row>
    <row r="6" ht="15.75" customHeight="1">
      <c r="A6" s="36" t="s">
        <v>98</v>
      </c>
      <c r="B6" s="8">
        <f>SUM('Facebook Ads Data'!E2:E366)</f>
        <v>9895</v>
      </c>
    </row>
    <row r="7" ht="15.75" customHeight="1">
      <c r="A7" s="36" t="s">
        <v>99</v>
      </c>
      <c r="B7" s="5">
        <f>(SUM('Facebook Ads Data'!D2:D366))/(SUM('Facebook Ads Data'!E2:E366))</f>
        <v>51.92525821</v>
      </c>
    </row>
    <row r="8" ht="15.75" customHeight="1">
      <c r="A8" s="36" t="s">
        <v>100</v>
      </c>
      <c r="B8" s="5">
        <f>(SUM('Facebook Ads Data'!F2:F366))/(SUM('Facebook Ads Data'!D1:D366))</f>
        <v>2.977426099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3" width="10.56"/>
    <col customWidth="1" min="4" max="4" width="18.11"/>
    <col customWidth="1" min="5" max="5" width="17.11"/>
    <col customWidth="1" min="6" max="6" width="10.56"/>
    <col customWidth="1" min="7" max="7" width="17.11"/>
    <col customWidth="1" min="8" max="8" width="15.33"/>
    <col customWidth="1" min="9" max="26" width="10.56"/>
  </cols>
  <sheetData>
    <row r="1" ht="15.75" customHeight="1">
      <c r="A1" s="37" t="s">
        <v>101</v>
      </c>
      <c r="B1" s="22"/>
      <c r="D1" s="37" t="s">
        <v>102</v>
      </c>
      <c r="E1" s="22"/>
      <c r="G1" s="37" t="s">
        <v>103</v>
      </c>
      <c r="H1" s="22"/>
      <c r="K1" s="37" t="s">
        <v>104</v>
      </c>
      <c r="L1" s="38"/>
      <c r="M1" s="22"/>
      <c r="O1" s="37" t="s">
        <v>105</v>
      </c>
      <c r="P1" s="38"/>
      <c r="Q1" s="22"/>
      <c r="S1" s="37" t="s">
        <v>106</v>
      </c>
      <c r="T1" s="38"/>
      <c r="U1" s="22"/>
    </row>
    <row r="2" ht="15.75" customHeight="1">
      <c r="A2" s="4" t="s">
        <v>48</v>
      </c>
      <c r="B2" s="7">
        <f t="array" ref="B2">SUMPRODUCT((MONTH('Facebook Ads Data'!A2:A366)=1)*('Facebook Ads Data'!D2:D366))</f>
        <v>40308.59</v>
      </c>
      <c r="D2" s="4" t="s">
        <v>48</v>
      </c>
      <c r="E2" s="4">
        <f t="array" ref="E2">SUMPRODUCT((MONTH('Facebook Ads Data'!A2:A366)=1)*('Facebook Ads Data'!E2:E366))</f>
        <v>738</v>
      </c>
      <c r="G2" s="4" t="s">
        <v>48</v>
      </c>
      <c r="H2" s="7">
        <f t="array" ref="H2">SUMPRODUCT((MONTH('Facebook Ads Data'!A2:A366)=1)*('Facebook Ads Data'!F2:F366))</f>
        <v>123705.64</v>
      </c>
      <c r="K2" s="34">
        <v>45108.0</v>
      </c>
      <c r="M2" s="5">
        <f>'Facebook Ads Data'!D183/'Facebook Ads Data'!C183</f>
        <v>0.9396734007</v>
      </c>
      <c r="O2" s="34">
        <v>45108.0</v>
      </c>
      <c r="Q2" s="5">
        <f>('Facebook Ads Data'!D342/'Facebook Ads Data'!B342)*1000</f>
        <v>29.48936581</v>
      </c>
      <c r="S2" s="34">
        <v>45108.0</v>
      </c>
      <c r="U2" s="4">
        <v>58.0</v>
      </c>
    </row>
    <row r="3" ht="15.75" customHeight="1">
      <c r="A3" s="4" t="s">
        <v>50</v>
      </c>
      <c r="B3" s="7">
        <f t="array" ref="B3">SUMPRODUCT((MONTH('Facebook Ads Data'!A2:A366)=2)*('Facebook Ads Data'!D2:D366))</f>
        <v>37652.5</v>
      </c>
      <c r="D3" s="4" t="s">
        <v>50</v>
      </c>
      <c r="E3" s="4">
        <f t="array" ref="E3">SUMPRODUCT((MONTH('Facebook Ads Data'!A2:A366)=2)*('Facebook Ads Data'!E2:E366))</f>
        <v>684</v>
      </c>
      <c r="G3" s="4" t="s">
        <v>50</v>
      </c>
      <c r="H3" s="7">
        <f t="array" ref="H3">SUMPRODUCT((MONTH('Facebook Ads Data'!A2:A366)=2)*('Facebook Ads Data'!F2:F366))</f>
        <v>114860.89</v>
      </c>
      <c r="K3" s="34">
        <v>45109.0</v>
      </c>
      <c r="M3" s="5">
        <f>'Facebook Ads Data'!D184/'Facebook Ads Data'!C184</f>
        <v>0.6739195402</v>
      </c>
      <c r="O3" s="34">
        <v>45109.0</v>
      </c>
      <c r="Q3" s="5">
        <f>('Facebook Ads Data'!D343/'Facebook Ads Data'!B343)*1000</f>
        <v>30.29557261</v>
      </c>
      <c r="S3" s="34">
        <v>45109.0</v>
      </c>
      <c r="U3" s="4">
        <v>17.0</v>
      </c>
    </row>
    <row r="4" ht="15.75" customHeight="1">
      <c r="A4" s="4" t="s">
        <v>52</v>
      </c>
      <c r="B4" s="7">
        <f t="array" ref="B4">SUMPRODUCT((MONTH('Facebook Ads Data'!A2:A366)=3)*('Facebook Ads Data'!D2:D366))</f>
        <v>37639.53</v>
      </c>
      <c r="D4" s="4" t="s">
        <v>52</v>
      </c>
      <c r="E4" s="4">
        <f t="array" ref="E4">SUMPRODUCT((MONTH('Facebook Ads Data'!A2:A366)=3)*('Facebook Ads Data'!E2:E366))</f>
        <v>745</v>
      </c>
      <c r="G4" s="4" t="s">
        <v>52</v>
      </c>
      <c r="H4" s="7">
        <f t="array" ref="H4">SUMPRODUCT((MONTH('Facebook Ads Data'!A2:A366)=3)*('Facebook Ads Data'!F2:F366))</f>
        <v>114313.36</v>
      </c>
      <c r="K4" s="34">
        <v>45110.0</v>
      </c>
      <c r="M4" s="5">
        <f>'Facebook Ads Data'!D185/'Facebook Ads Data'!C185</f>
        <v>1.205878594</v>
      </c>
      <c r="O4" s="34">
        <v>45110.0</v>
      </c>
      <c r="Q4" s="5">
        <f>('Facebook Ads Data'!D344/'Facebook Ads Data'!B344)*1000</f>
        <v>35.86744034</v>
      </c>
      <c r="S4" s="34">
        <v>45110.0</v>
      </c>
      <c r="U4" s="4">
        <v>21.0</v>
      </c>
    </row>
    <row r="5" ht="15.75" customHeight="1">
      <c r="A5" s="4" t="s">
        <v>54</v>
      </c>
      <c r="B5" s="7">
        <f t="array" ref="B5">SUMPRODUCT((MONTH('Facebook Ads Data'!A2:A366)=4)*('Facebook Ads Data'!D2:D366))</f>
        <v>48074</v>
      </c>
      <c r="D5" s="4" t="s">
        <v>54</v>
      </c>
      <c r="E5" s="4">
        <f t="array" ref="E5">SUMPRODUCT((MONTH('Facebook Ads Data'!A2:A366)=4)*('Facebook Ads Data'!E2:E366))</f>
        <v>904</v>
      </c>
      <c r="G5" s="4" t="s">
        <v>54</v>
      </c>
      <c r="H5" s="7">
        <f t="array" ref="H5">SUMPRODUCT((MONTH('Facebook Ads Data'!A2:A366)=4)*('Facebook Ads Data'!F2:F366))</f>
        <v>139447.02</v>
      </c>
      <c r="K5" s="34">
        <v>45111.0</v>
      </c>
      <c r="M5" s="5">
        <f>'Facebook Ads Data'!D186/'Facebook Ads Data'!C186</f>
        <v>0.6481411043</v>
      </c>
      <c r="O5" s="34">
        <v>45111.0</v>
      </c>
      <c r="Q5" s="5">
        <f>('Facebook Ads Data'!D345/'Facebook Ads Data'!B345)*1000</f>
        <v>30.85037254</v>
      </c>
      <c r="S5" s="34">
        <v>45111.0</v>
      </c>
      <c r="U5" s="4">
        <v>23.0</v>
      </c>
    </row>
    <row r="6" ht="15.75" customHeight="1">
      <c r="A6" s="4" t="s">
        <v>56</v>
      </c>
      <c r="B6" s="7">
        <f t="array" ref="B6">SUMPRODUCT((MONTH('Facebook Ads Data'!A2:A366)=5)*('Facebook Ads Data'!D2:D366))</f>
        <v>46193.31</v>
      </c>
      <c r="D6" s="4" t="s">
        <v>56</v>
      </c>
      <c r="E6" s="4">
        <f t="array" ref="E6">SUMPRODUCT((MONTH('Facebook Ads Data'!A2:A366)=5)*('Facebook Ads Data'!E2:E366))</f>
        <v>862</v>
      </c>
      <c r="G6" s="4" t="s">
        <v>56</v>
      </c>
      <c r="H6" s="7">
        <f t="array" ref="H6">SUMPRODUCT((MONTH('Facebook Ads Data'!A2:A366)=5)*('Facebook Ads Data'!F2:F366))</f>
        <v>133654.72</v>
      </c>
      <c r="K6" s="34">
        <v>45112.0</v>
      </c>
      <c r="M6" s="5">
        <f>'Facebook Ads Data'!D187/'Facebook Ads Data'!C187</f>
        <v>0.9530779615</v>
      </c>
      <c r="O6" s="34">
        <v>45112.0</v>
      </c>
      <c r="Q6" s="5">
        <f>('Facebook Ads Data'!D346/'Facebook Ads Data'!B346)*1000</f>
        <v>21.34074245</v>
      </c>
      <c r="S6" s="34">
        <v>45112.0</v>
      </c>
      <c r="U6" s="4">
        <v>38.0</v>
      </c>
    </row>
    <row r="7" ht="15.75" customHeight="1">
      <c r="A7" s="4" t="s">
        <v>58</v>
      </c>
      <c r="B7" s="7">
        <f t="array" ref="B7">SUMPRODUCT((MONTH('Facebook Ads Data'!A2:A366)=6)*('Facebook Ads Data'!D2:D366))</f>
        <v>46263.44</v>
      </c>
      <c r="D7" s="4" t="s">
        <v>58</v>
      </c>
      <c r="E7" s="4">
        <f t="array" ref="E7">SUMPRODUCT((MONTH('Facebook Ads Data'!A2:A366)=6)*('Facebook Ads Data'!E2:E366))</f>
        <v>878</v>
      </c>
      <c r="G7" s="4" t="s">
        <v>58</v>
      </c>
      <c r="H7" s="7">
        <f t="array" ref="H7">SUMPRODUCT((MONTH('Facebook Ads Data'!A2:A366)=6)*('Facebook Ads Data'!F2:F366))</f>
        <v>139159.19</v>
      </c>
      <c r="K7" s="34">
        <v>45113.0</v>
      </c>
      <c r="M7" s="5">
        <f>'Facebook Ads Data'!D188/'Facebook Ads Data'!C188</f>
        <v>0.9537910448</v>
      </c>
      <c r="O7" s="34">
        <v>45113.0</v>
      </c>
      <c r="Q7" s="5">
        <f>('Facebook Ads Data'!D347/'Facebook Ads Data'!B347)*1000</f>
        <v>14.04594786</v>
      </c>
      <c r="S7" s="34">
        <v>45113.0</v>
      </c>
      <c r="U7" s="4">
        <v>14.0</v>
      </c>
    </row>
    <row r="8" ht="15.75" customHeight="1">
      <c r="A8" s="4" t="s">
        <v>60</v>
      </c>
      <c r="B8" s="7">
        <f t="array" ref="B8">SUMPRODUCT((MONTH('Facebook Ads Data'!A2:A366)=7)*('Facebook Ads Data'!D2:D366))</f>
        <v>45805.46</v>
      </c>
      <c r="D8" s="4" t="s">
        <v>60</v>
      </c>
      <c r="E8" s="4">
        <f t="array" ref="E8">SUMPRODUCT((MONTH('Facebook Ads Data'!A2:A366)=7)*('Facebook Ads Data'!E2:E366))</f>
        <v>925</v>
      </c>
      <c r="G8" s="39" t="s">
        <v>60</v>
      </c>
      <c r="H8" s="40">
        <f t="array" ref="H8">SUMPRODUCT((MONTH('Facebook Ads Data'!A2:A366)=7)*('Facebook Ads Data'!F2:F366))</f>
        <v>141254.33</v>
      </c>
      <c r="K8" s="34">
        <v>45114.0</v>
      </c>
      <c r="M8" s="5">
        <f>'Facebook Ads Data'!D189/'Facebook Ads Data'!C189</f>
        <v>0.9602600141</v>
      </c>
      <c r="O8" s="34">
        <v>45114.0</v>
      </c>
      <c r="Q8" s="5">
        <f>('Facebook Ads Data'!D348/'Facebook Ads Data'!B348)*1000</f>
        <v>29.53321523</v>
      </c>
      <c r="S8" s="34">
        <v>45114.0</v>
      </c>
      <c r="U8" s="4">
        <v>33.0</v>
      </c>
    </row>
    <row r="9" ht="15.75" customHeight="1">
      <c r="A9" s="4" t="s">
        <v>62</v>
      </c>
      <c r="B9" s="7">
        <f t="array" ref="B9">SUMPRODUCT((MONTH('Facebook Ads Data'!A2:A366)=8)*('Facebook Ads Data'!D2:D366))</f>
        <v>44346.76</v>
      </c>
      <c r="D9" s="4" t="s">
        <v>62</v>
      </c>
      <c r="E9" s="4">
        <f t="array" ref="E9">SUMPRODUCT((MONTH('Facebook Ads Data'!A2:A366)=8)*('Facebook Ads Data'!E2:E366))</f>
        <v>900</v>
      </c>
      <c r="G9" s="4" t="s">
        <v>62</v>
      </c>
      <c r="H9" s="7">
        <f t="array" ref="H9">SUMPRODUCT((MONTH('Facebook Ads Data'!A2:A366)=8)*('Facebook Ads Data'!F2:F366))</f>
        <v>140986.43</v>
      </c>
      <c r="K9" s="34">
        <v>45115.0</v>
      </c>
      <c r="M9" s="5">
        <f>'Facebook Ads Data'!D190/'Facebook Ads Data'!C190</f>
        <v>1.219195726</v>
      </c>
      <c r="O9" s="34">
        <v>45115.0</v>
      </c>
      <c r="Q9" s="5">
        <f>('Facebook Ads Data'!D349/'Facebook Ads Data'!B349)*1000</f>
        <v>40.48130142</v>
      </c>
      <c r="S9" s="34">
        <v>45115.0</v>
      </c>
      <c r="U9" s="4">
        <v>39.0</v>
      </c>
    </row>
    <row r="10" ht="15.75" customHeight="1">
      <c r="A10" s="4" t="s">
        <v>64</v>
      </c>
      <c r="B10" s="7">
        <f t="array" ref="B10">SUMPRODUCT((MONTH('Facebook Ads Data'!A2:A366)=9)*('Facebook Ads Data'!D2:D366))</f>
        <v>34993.62</v>
      </c>
      <c r="D10" s="4" t="s">
        <v>64</v>
      </c>
      <c r="E10" s="4">
        <f t="array" ref="E10">SUMPRODUCT((MONTH('Facebook Ads Data'!A2:A366)=9)*('Facebook Ads Data'!E2:E366))</f>
        <v>669</v>
      </c>
      <c r="G10" s="4" t="s">
        <v>64</v>
      </c>
      <c r="H10" s="7">
        <f t="array" ref="H10">SUMPRODUCT((MONTH('Facebook Ads Data'!A2:A366)=9)*('Facebook Ads Data'!F2:F366))</f>
        <v>109449.36</v>
      </c>
      <c r="K10" s="34">
        <v>45116.0</v>
      </c>
      <c r="M10" s="5">
        <f>'Facebook Ads Data'!D191/'Facebook Ads Data'!C191</f>
        <v>1.108810173</v>
      </c>
      <c r="O10" s="34">
        <v>45116.0</v>
      </c>
      <c r="Q10" s="5">
        <f>('Facebook Ads Data'!D350/'Facebook Ads Data'!B350)*1000</f>
        <v>44.57362525</v>
      </c>
      <c r="S10" s="34">
        <v>45116.0</v>
      </c>
      <c r="U10" s="4">
        <v>23.0</v>
      </c>
    </row>
    <row r="11" ht="15.75" customHeight="1">
      <c r="A11" s="4" t="s">
        <v>66</v>
      </c>
      <c r="B11" s="7">
        <f t="array" ref="B11">SUMPRODUCT((MONTH('Facebook Ads Data'!A2:A366)=10)*('Facebook Ads Data'!D2:D366))</f>
        <v>40568.02</v>
      </c>
      <c r="D11" s="4" t="s">
        <v>66</v>
      </c>
      <c r="E11" s="4">
        <f t="array" ref="E11">SUMPRODUCT((MONTH('Facebook Ads Data'!A2:A366)=10)*('Facebook Ads Data'!E2:E366))</f>
        <v>871</v>
      </c>
      <c r="G11" s="4" t="s">
        <v>66</v>
      </c>
      <c r="H11" s="7">
        <f t="array" ref="H11">SUMPRODUCT((MONTH('Facebook Ads Data'!A2:A366)=10)*('Facebook Ads Data'!F2:F366))</f>
        <v>129368.21</v>
      </c>
      <c r="K11" s="34">
        <v>45117.0</v>
      </c>
      <c r="M11" s="5">
        <f>'Facebook Ads Data'!D192/'Facebook Ads Data'!C192</f>
        <v>0.8332310094</v>
      </c>
      <c r="O11" s="34">
        <v>45117.0</v>
      </c>
      <c r="Q11" s="5">
        <f>('Facebook Ads Data'!D351/'Facebook Ads Data'!B351)*1000</f>
        <v>33.05215931</v>
      </c>
      <c r="S11" s="34">
        <v>45117.0</v>
      </c>
      <c r="U11" s="4">
        <v>27.0</v>
      </c>
    </row>
    <row r="12" ht="15.75" customHeight="1">
      <c r="A12" s="4" t="s">
        <v>68</v>
      </c>
      <c r="B12" s="7">
        <f t="array" ref="B12">SUMPRODUCT((MONTH('Facebook Ads Data'!A2:A366)=11)*('Facebook Ads Data'!D2:D366))</f>
        <v>35076.8</v>
      </c>
      <c r="D12" s="4" t="s">
        <v>68</v>
      </c>
      <c r="E12" s="4">
        <f t="array" ref="E12">SUMPRODUCT((MONTH('Facebook Ads Data'!A2:A366)=11)*('Facebook Ads Data'!E2:E366))</f>
        <v>695</v>
      </c>
      <c r="G12" s="4" t="s">
        <v>68</v>
      </c>
      <c r="H12" s="7">
        <f t="array" ref="H12">SUMPRODUCT((MONTH('Facebook Ads Data'!A2:A366)=11)*('Facebook Ads Data'!F2:F366))</f>
        <v>111034.14</v>
      </c>
      <c r="K12" s="34">
        <v>45118.0</v>
      </c>
      <c r="M12" s="5">
        <f>'Facebook Ads Data'!D193/'Facebook Ads Data'!C193</f>
        <v>0.7423795535</v>
      </c>
      <c r="O12" s="34">
        <v>45118.0</v>
      </c>
      <c r="Q12" s="5">
        <f>('Facebook Ads Data'!D352/'Facebook Ads Data'!B352)*1000</f>
        <v>19.19683574</v>
      </c>
      <c r="S12" s="34">
        <v>45118.0</v>
      </c>
      <c r="U12" s="4">
        <v>27.0</v>
      </c>
    </row>
    <row r="13" ht="15.75" customHeight="1">
      <c r="A13" s="39" t="s">
        <v>70</v>
      </c>
      <c r="B13" s="40">
        <f t="array" ref="B13">SUMPRODUCT((MONTH('Facebook Ads Data'!A2:A366)=12)*('Facebook Ads Data'!D2:D366))</f>
        <v>56878.4</v>
      </c>
      <c r="D13" s="39" t="s">
        <v>70</v>
      </c>
      <c r="E13" s="39">
        <f t="array" ref="E13">SUMPRODUCT((MONTH('Facebook Ads Data'!A2:A366)=12)*('Facebook Ads Data'!E2:E366))</f>
        <v>1024</v>
      </c>
      <c r="G13" s="4" t="s">
        <v>70</v>
      </c>
      <c r="H13" s="7">
        <f t="array" ref="H13">SUMPRODUCT((MONTH('Facebook Ads Data'!A2:A366)=12)*('Facebook Ads Data'!F2:F366))</f>
        <v>132569.52</v>
      </c>
      <c r="K13" s="34">
        <v>45119.0</v>
      </c>
      <c r="M13" s="5">
        <f>'Facebook Ads Data'!D194/'Facebook Ads Data'!C194</f>
        <v>0.6958310185</v>
      </c>
      <c r="O13" s="34">
        <v>45119.0</v>
      </c>
      <c r="Q13" s="5">
        <f>('Facebook Ads Data'!D353/'Facebook Ads Data'!B353)*1000</f>
        <v>27.16067335</v>
      </c>
      <c r="S13" s="34">
        <v>45119.0</v>
      </c>
      <c r="U13" s="4">
        <v>101.0</v>
      </c>
    </row>
    <row r="14" ht="15.75" customHeight="1">
      <c r="A14" s="41" t="s">
        <v>72</v>
      </c>
      <c r="B14" s="7">
        <f>MAX(B2:B13)</f>
        <v>56878.4</v>
      </c>
      <c r="D14" s="41" t="s">
        <v>73</v>
      </c>
      <c r="E14" s="4">
        <f>MAX(E2:E13)</f>
        <v>1024</v>
      </c>
      <c r="G14" s="41" t="s">
        <v>74</v>
      </c>
      <c r="H14" s="7">
        <f>MAX(H2:H13)</f>
        <v>141254.33</v>
      </c>
      <c r="K14" s="34">
        <v>45120.0</v>
      </c>
      <c r="M14" s="5">
        <f>'Facebook Ads Data'!D195/'Facebook Ads Data'!C195</f>
        <v>0.9016110135</v>
      </c>
      <c r="O14" s="34">
        <v>45120.0</v>
      </c>
      <c r="Q14" s="5">
        <f>('Facebook Ads Data'!D354/'Facebook Ads Data'!B354)*1000</f>
        <v>44.21590479</v>
      </c>
      <c r="S14" s="34">
        <v>45120.0</v>
      </c>
      <c r="U14" s="4">
        <v>34.0</v>
      </c>
    </row>
    <row r="15" ht="15.75" customHeight="1">
      <c r="K15" s="34">
        <v>45121.0</v>
      </c>
      <c r="M15" s="5">
        <f>'Facebook Ads Data'!D196/'Facebook Ads Data'!C196</f>
        <v>0.9823744292</v>
      </c>
      <c r="O15" s="34">
        <v>45121.0</v>
      </c>
      <c r="Q15" s="5">
        <f>('Facebook Ads Data'!D355/'Facebook Ads Data'!B355)*1000</f>
        <v>33.15992094</v>
      </c>
      <c r="S15" s="34">
        <v>45121.0</v>
      </c>
      <c r="U15" s="4">
        <v>21.0</v>
      </c>
    </row>
    <row r="16" ht="15.75" customHeight="1">
      <c r="K16" s="34">
        <v>45122.0</v>
      </c>
      <c r="M16" s="5">
        <f>'Facebook Ads Data'!D197/'Facebook Ads Data'!C197</f>
        <v>1.107356778</v>
      </c>
      <c r="O16" s="34">
        <v>45122.0</v>
      </c>
      <c r="Q16" s="5">
        <f>('Facebook Ads Data'!D356/'Facebook Ads Data'!B356)*1000</f>
        <v>11.63204636</v>
      </c>
      <c r="S16" s="34">
        <v>45122.0</v>
      </c>
      <c r="U16" s="4">
        <v>33.0</v>
      </c>
    </row>
    <row r="17" ht="15.75" customHeight="1">
      <c r="K17" s="34">
        <v>45123.0</v>
      </c>
      <c r="M17" s="5">
        <f>'Facebook Ads Data'!D198/'Facebook Ads Data'!C198</f>
        <v>0.9473449969</v>
      </c>
      <c r="O17" s="34">
        <v>45123.0</v>
      </c>
      <c r="Q17" s="5">
        <f>('Facebook Ads Data'!D357/'Facebook Ads Data'!B357)*1000</f>
        <v>18.03581118</v>
      </c>
      <c r="S17" s="34">
        <v>45123.0</v>
      </c>
      <c r="U17" s="4">
        <v>79.0</v>
      </c>
    </row>
    <row r="18" ht="15.75" customHeight="1">
      <c r="K18" s="34">
        <v>45124.0</v>
      </c>
      <c r="M18" s="5">
        <f>'Facebook Ads Data'!D199/'Facebook Ads Data'!C199</f>
        <v>0.7990767687</v>
      </c>
      <c r="O18" s="34">
        <v>45124.0</v>
      </c>
      <c r="Q18" s="5">
        <f>('Facebook Ads Data'!D358/'Facebook Ads Data'!B358)*1000</f>
        <v>15.22072338</v>
      </c>
      <c r="S18" s="34">
        <v>45124.0</v>
      </c>
      <c r="U18" s="4">
        <v>32.0</v>
      </c>
    </row>
    <row r="19" ht="15.75" customHeight="1">
      <c r="K19" s="34">
        <v>45125.0</v>
      </c>
      <c r="M19" s="5">
        <f>'Facebook Ads Data'!D200/'Facebook Ads Data'!C200</f>
        <v>1.044139021</v>
      </c>
      <c r="O19" s="34">
        <v>45125.0</v>
      </c>
      <c r="Q19" s="5">
        <f>('Facebook Ads Data'!D359/'Facebook Ads Data'!B359)*1000</f>
        <v>27.00294421</v>
      </c>
      <c r="S19" s="34">
        <v>45125.0</v>
      </c>
      <c r="U19" s="4">
        <v>33.0</v>
      </c>
    </row>
    <row r="20" ht="15.75" customHeight="1">
      <c r="K20" s="34">
        <v>45126.0</v>
      </c>
      <c r="M20" s="5">
        <f>'Facebook Ads Data'!D201/'Facebook Ads Data'!C201</f>
        <v>0.6402773925</v>
      </c>
      <c r="O20" s="34">
        <v>45126.0</v>
      </c>
      <c r="Q20" s="5">
        <f>('Facebook Ads Data'!D360/'Facebook Ads Data'!B360)*1000</f>
        <v>12.86885065</v>
      </c>
      <c r="S20" s="34">
        <v>45126.0</v>
      </c>
      <c r="U20" s="4">
        <v>15.0</v>
      </c>
    </row>
    <row r="21" ht="15.75" customHeight="1">
      <c r="K21" s="34">
        <v>45127.0</v>
      </c>
      <c r="M21" s="5">
        <f>'Facebook Ads Data'!D202/'Facebook Ads Data'!C202</f>
        <v>0.8389838823</v>
      </c>
      <c r="O21" s="34">
        <v>45127.0</v>
      </c>
      <c r="Q21" s="5">
        <f>('Facebook Ads Data'!D361/'Facebook Ads Data'!B361)*1000</f>
        <v>17.30319133</v>
      </c>
      <c r="S21" s="34">
        <v>45127.0</v>
      </c>
      <c r="U21" s="4">
        <v>21.0</v>
      </c>
    </row>
    <row r="22" ht="15.75" customHeight="1">
      <c r="K22" s="34">
        <v>45128.0</v>
      </c>
      <c r="M22" s="5">
        <f>'Facebook Ads Data'!D203/'Facebook Ads Data'!C203</f>
        <v>0.7160290557</v>
      </c>
      <c r="O22" s="34">
        <v>45128.0</v>
      </c>
      <c r="Q22" s="5">
        <f>('Facebook Ads Data'!D362/'Facebook Ads Data'!B362)*1000</f>
        <v>25.8099724</v>
      </c>
      <c r="S22" s="34">
        <v>45128.0</v>
      </c>
      <c r="U22" s="4">
        <v>8.0</v>
      </c>
    </row>
    <row r="23" ht="15.75" customHeight="1">
      <c r="K23" s="34">
        <v>45129.0</v>
      </c>
      <c r="M23" s="5">
        <f>'Facebook Ads Data'!D204/'Facebook Ads Data'!C204</f>
        <v>1.070852575</v>
      </c>
      <c r="O23" s="34">
        <v>45129.0</v>
      </c>
      <c r="Q23" s="5">
        <f>('Facebook Ads Data'!D363/'Facebook Ads Data'!B363)*1000</f>
        <v>38.17801123</v>
      </c>
      <c r="S23" s="34">
        <v>45129.0</v>
      </c>
      <c r="U23" s="4">
        <v>7.0</v>
      </c>
    </row>
    <row r="24" ht="15.75" customHeight="1">
      <c r="K24" s="34">
        <v>45130.0</v>
      </c>
      <c r="M24" s="5">
        <f>'Facebook Ads Data'!D205/'Facebook Ads Data'!C205</f>
        <v>1.035459184</v>
      </c>
      <c r="O24" s="34">
        <v>45130.0</v>
      </c>
      <c r="Q24" s="5">
        <f>('Facebook Ads Data'!D364/'Facebook Ads Data'!B364)*1000</f>
        <v>17.61088069</v>
      </c>
      <c r="S24" s="34">
        <v>45130.0</v>
      </c>
      <c r="U24" s="4">
        <v>10.0</v>
      </c>
    </row>
    <row r="25" ht="15.75" customHeight="1">
      <c r="K25" s="34">
        <v>45131.0</v>
      </c>
      <c r="M25" s="5">
        <f>'Facebook Ads Data'!D206/'Facebook Ads Data'!C206</f>
        <v>0.6045794702</v>
      </c>
      <c r="O25" s="34">
        <v>45131.0</v>
      </c>
      <c r="Q25" s="5">
        <f>('Facebook Ads Data'!D365/'Facebook Ads Data'!B365)*1000</f>
        <v>32.01575763</v>
      </c>
      <c r="S25" s="34">
        <v>45131.0</v>
      </c>
      <c r="U25" s="4">
        <v>52.0</v>
      </c>
    </row>
    <row r="26" ht="15.75" customHeight="1">
      <c r="K26" s="34">
        <v>45132.0</v>
      </c>
      <c r="M26" s="5">
        <f>'Facebook Ads Data'!D207/'Facebook Ads Data'!C207</f>
        <v>0.6410901163</v>
      </c>
      <c r="O26" s="34">
        <v>45132.0</v>
      </c>
      <c r="Q26" s="5">
        <f>('Facebook Ads Data'!D366/'Facebook Ads Data'!B366)*1000</f>
        <v>26.37520641</v>
      </c>
      <c r="S26" s="34">
        <v>45132.0</v>
      </c>
      <c r="U26" s="4">
        <v>12.0</v>
      </c>
    </row>
    <row r="27" ht="15.75" customHeight="1">
      <c r="K27" s="34">
        <v>45133.0</v>
      </c>
      <c r="M27" s="5">
        <f>'Facebook Ads Data'!D208/'Facebook Ads Data'!C208</f>
        <v>0.7838172043</v>
      </c>
      <c r="O27" s="34">
        <v>45133.0</v>
      </c>
      <c r="Q27" s="5">
        <f>('Facebook Ads Data'!D208/'Facebook Ads Data'!B208)*1000</f>
        <v>11.9958859</v>
      </c>
      <c r="S27" s="34">
        <v>45133.0</v>
      </c>
      <c r="U27" s="4">
        <v>12.0</v>
      </c>
    </row>
    <row r="28" ht="15.75" customHeight="1">
      <c r="K28" s="34">
        <v>45134.0</v>
      </c>
      <c r="M28" s="5">
        <f>'Facebook Ads Data'!D209/'Facebook Ads Data'!C209</f>
        <v>1.004238193</v>
      </c>
      <c r="O28" s="34">
        <v>45134.0</v>
      </c>
      <c r="Q28" s="5">
        <f>('Facebook Ads Data'!D209/'Facebook Ads Data'!B209)*1000</f>
        <v>30.53329504</v>
      </c>
      <c r="S28" s="34">
        <v>45134.0</v>
      </c>
      <c r="U28" s="4">
        <v>29.0</v>
      </c>
    </row>
    <row r="29" ht="15.75" customHeight="1">
      <c r="K29" s="34">
        <v>45135.0</v>
      </c>
      <c r="M29" s="5">
        <f>'Facebook Ads Data'!D210/'Facebook Ads Data'!C210</f>
        <v>0.9989441341</v>
      </c>
      <c r="O29" s="34">
        <v>45135.0</v>
      </c>
      <c r="Q29" s="5">
        <f>('Facebook Ads Data'!D210/'Facebook Ads Data'!B210)*1000</f>
        <v>14.40281917</v>
      </c>
      <c r="S29" s="34">
        <v>45135.0</v>
      </c>
      <c r="U29" s="4">
        <v>32.0</v>
      </c>
    </row>
    <row r="30" ht="15.75" customHeight="1">
      <c r="K30" s="34">
        <v>45136.0</v>
      </c>
      <c r="M30" s="5">
        <f>'Facebook Ads Data'!D211/'Facebook Ads Data'!C211</f>
        <v>0.7538863186</v>
      </c>
      <c r="O30" s="34">
        <v>45136.0</v>
      </c>
      <c r="Q30" s="5">
        <f>('Facebook Ads Data'!D211/'Facebook Ads Data'!B211)*1000</f>
        <v>17.90178291</v>
      </c>
      <c r="S30" s="34">
        <v>45136.0</v>
      </c>
      <c r="U30" s="4">
        <v>26.0</v>
      </c>
    </row>
    <row r="31" ht="15.75" customHeight="1">
      <c r="K31" s="34">
        <v>45137.0</v>
      </c>
      <c r="M31" s="5">
        <f>'Facebook Ads Data'!D212/'Facebook Ads Data'!C212</f>
        <v>0.633996972</v>
      </c>
      <c r="O31" s="34">
        <v>45137.0</v>
      </c>
      <c r="Q31" s="5">
        <f>('Facebook Ads Data'!D212/'Facebook Ads Data'!B212)*1000</f>
        <v>11.32688666</v>
      </c>
      <c r="S31" s="34">
        <v>45137.0</v>
      </c>
      <c r="U31" s="4">
        <v>22.0</v>
      </c>
    </row>
    <row r="32" ht="15.75" customHeight="1">
      <c r="K32" s="34">
        <v>45138.0</v>
      </c>
      <c r="M32" s="5">
        <f>'Facebook Ads Data'!D213/'Facebook Ads Data'!C213</f>
        <v>1.056948775</v>
      </c>
      <c r="O32" s="34">
        <v>45138.0</v>
      </c>
      <c r="Q32" s="5">
        <f>('Facebook Ads Data'!D213/'Facebook Ads Data'!B213)*1000</f>
        <v>24.34233248</v>
      </c>
      <c r="S32" s="34">
        <v>45138.0</v>
      </c>
      <c r="U32" s="4">
        <v>26.0</v>
      </c>
    </row>
    <row r="33" ht="15.75" customHeight="1">
      <c r="K33" s="39" t="s">
        <v>107</v>
      </c>
      <c r="L33" s="39"/>
      <c r="M33" s="42">
        <f>SUM(M2:M32)</f>
        <v>27.49519542</v>
      </c>
      <c r="O33" s="39" t="s">
        <v>108</v>
      </c>
      <c r="P33" s="39"/>
      <c r="Q33" s="42">
        <f>SUM(Q2:Q32)</f>
        <v>785.8194753</v>
      </c>
      <c r="S33" s="39" t="s">
        <v>109</v>
      </c>
      <c r="T33" s="39"/>
      <c r="U33" s="39">
        <f>SUM(U2:U32)</f>
        <v>925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D1:E1"/>
    <mergeCell ref="G1:H1"/>
    <mergeCell ref="K1:M1"/>
    <mergeCell ref="O1:Q1"/>
    <mergeCell ref="S1: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2025-10-30T13:24:17Z</dcterms:created>
  <dc:creator>Kenan Kurt</dc:creator>
</cp:coreProperties>
</file>